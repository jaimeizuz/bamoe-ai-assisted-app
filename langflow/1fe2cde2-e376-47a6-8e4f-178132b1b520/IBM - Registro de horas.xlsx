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code\ai\compose-projects\bamoe-ai-assisted-app\langflow\docs\"/>
    </mc:Choice>
  </mc:AlternateContent>
  <xr:revisionPtr revIDLastSave="0" documentId="13_ncr:1_{76AFD396-F908-45BE-A36E-10D8326E55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January 26" sheetId="56" r:id="rId1"/>
    <sheet name="February 26" sheetId="57" r:id="rId2"/>
    <sheet name="March 26" sheetId="58" r:id="rId3"/>
    <sheet name="April 26" sheetId="59" r:id="rId4"/>
    <sheet name="May 26" sheetId="60" r:id="rId5"/>
    <sheet name="June 26" sheetId="61" r:id="rId6"/>
    <sheet name="July 26" sheetId="62" r:id="rId7"/>
    <sheet name="August 26" sheetId="63" r:id="rId8"/>
    <sheet name="September 26" sheetId="64" r:id="rId9"/>
    <sheet name="October 26" sheetId="65" r:id="rId10"/>
    <sheet name="November 26" sheetId="66" r:id="rId11"/>
    <sheet name="December 26" sheetId="67" r:id="rId12"/>
  </sheets>
  <definedNames>
    <definedName name="_xlnm._FilterDatabase" localSheetId="3" hidden="1">'April 26'!$A$1:$I$1</definedName>
    <definedName name="_xlnm._FilterDatabase" localSheetId="7" hidden="1">'August 26'!$A$1:$I$1</definedName>
    <definedName name="_xlnm._FilterDatabase" localSheetId="11" hidden="1">'December 26'!$A$1:$I$1</definedName>
    <definedName name="_xlnm._FilterDatabase" localSheetId="1" hidden="1">'February 26'!$A$1:$I$1</definedName>
    <definedName name="_xlnm._FilterDatabase" localSheetId="0" hidden="1">'January 26'!$A$1:$I$1</definedName>
    <definedName name="_xlnm._FilterDatabase" localSheetId="6" hidden="1">'July 26'!$A$1:$K$1</definedName>
    <definedName name="_xlnm._FilterDatabase" localSheetId="5" hidden="1">'June 26'!$A$1:$K$1</definedName>
    <definedName name="_xlnm._FilterDatabase" localSheetId="2" hidden="1">'March 26'!$A$1:$I$1</definedName>
    <definedName name="_xlnm._FilterDatabase" localSheetId="4" hidden="1">'May 26'!$A$1:$I$1</definedName>
    <definedName name="_xlnm._FilterDatabase" localSheetId="10" hidden="1">'November 26'!$A$1:$I$1</definedName>
    <definedName name="_xlnm._FilterDatabase" localSheetId="9" hidden="1">'October 26'!$A$1:$I$1</definedName>
    <definedName name="_xlnm._FilterDatabase" localSheetId="8" hidden="1">'September 26'!$A$1:$I$1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57" l="1"/>
  <c r="D19" i="57"/>
  <c r="D20" i="57"/>
  <c r="D21" i="57"/>
  <c r="I5" i="56"/>
  <c r="D6" i="57"/>
  <c r="H5" i="67" l="1"/>
  <c r="H2" i="67"/>
  <c r="H5" i="66"/>
  <c r="H2" i="66"/>
  <c r="H5" i="65"/>
  <c r="H2" i="65"/>
  <c r="H5" i="64"/>
  <c r="H2" i="64"/>
  <c r="H5" i="63"/>
  <c r="H2" i="63"/>
  <c r="H5" i="62"/>
  <c r="H2" i="62"/>
  <c r="H5" i="61"/>
  <c r="H2" i="61"/>
  <c r="H5" i="60"/>
  <c r="H2" i="60"/>
  <c r="H5" i="59"/>
  <c r="H2" i="59"/>
  <c r="H5" i="58"/>
  <c r="H2" i="58"/>
  <c r="H5" i="57"/>
  <c r="H2" i="57"/>
  <c r="D24" i="67" l="1"/>
  <c r="D23" i="67"/>
  <c r="D22" i="67"/>
  <c r="D21" i="67"/>
  <c r="D20" i="67"/>
  <c r="D19" i="67"/>
  <c r="D18" i="67"/>
  <c r="D17" i="67"/>
  <c r="D16" i="67"/>
  <c r="D15" i="67"/>
  <c r="D14" i="67"/>
  <c r="D13" i="67"/>
  <c r="D12" i="67"/>
  <c r="D11" i="67"/>
  <c r="D10" i="67"/>
  <c r="I2" i="67" s="1"/>
  <c r="D9" i="67"/>
  <c r="D8" i="67"/>
  <c r="D7" i="67"/>
  <c r="D6" i="67"/>
  <c r="D5" i="67"/>
  <c r="D4" i="67"/>
  <c r="D3" i="67"/>
  <c r="D2" i="67"/>
  <c r="D22" i="66"/>
  <c r="D21" i="66"/>
  <c r="D20" i="66"/>
  <c r="D19" i="66"/>
  <c r="D18" i="66"/>
  <c r="D17" i="66"/>
  <c r="D16" i="66"/>
  <c r="D15" i="66"/>
  <c r="D14" i="66"/>
  <c r="D13" i="66"/>
  <c r="D12" i="66"/>
  <c r="D11" i="66"/>
  <c r="D10" i="66"/>
  <c r="D9" i="66"/>
  <c r="D8" i="66"/>
  <c r="D7" i="66"/>
  <c r="D6" i="66"/>
  <c r="D5" i="66"/>
  <c r="D4" i="66"/>
  <c r="D3" i="66"/>
  <c r="D2" i="66"/>
  <c r="D23" i="65"/>
  <c r="D22" i="65"/>
  <c r="D21" i="65"/>
  <c r="D20" i="65"/>
  <c r="D19" i="65"/>
  <c r="D18" i="65"/>
  <c r="D17" i="65"/>
  <c r="D16" i="65"/>
  <c r="D15" i="65"/>
  <c r="D14" i="65"/>
  <c r="D13" i="65"/>
  <c r="D12" i="65"/>
  <c r="D11" i="65"/>
  <c r="D10" i="65"/>
  <c r="D9" i="65"/>
  <c r="D8" i="65"/>
  <c r="D7" i="65"/>
  <c r="D6" i="65"/>
  <c r="D5" i="65"/>
  <c r="D4" i="65"/>
  <c r="D3" i="65"/>
  <c r="I2" i="65"/>
  <c r="D2" i="65"/>
  <c r="D23" i="64"/>
  <c r="D22" i="64"/>
  <c r="D21" i="64"/>
  <c r="D20" i="64"/>
  <c r="D19" i="64"/>
  <c r="D18" i="64"/>
  <c r="D17" i="64"/>
  <c r="D16" i="64"/>
  <c r="D15" i="64"/>
  <c r="D14" i="64"/>
  <c r="D13" i="64"/>
  <c r="D12" i="64"/>
  <c r="D11" i="64"/>
  <c r="D10" i="64"/>
  <c r="D9" i="64"/>
  <c r="D8" i="64"/>
  <c r="D7" i="64"/>
  <c r="D6" i="64"/>
  <c r="D5" i="64"/>
  <c r="I2" i="64" s="1"/>
  <c r="D4" i="64"/>
  <c r="D3" i="64"/>
  <c r="D2" i="64"/>
  <c r="D22" i="63"/>
  <c r="D21" i="63"/>
  <c r="D20" i="63"/>
  <c r="D19" i="63"/>
  <c r="D18" i="63"/>
  <c r="D17" i="63"/>
  <c r="D16" i="63"/>
  <c r="D15" i="63"/>
  <c r="D14" i="63"/>
  <c r="D13" i="63"/>
  <c r="D12" i="63"/>
  <c r="D11" i="63"/>
  <c r="D10" i="63"/>
  <c r="D9" i="63"/>
  <c r="D8" i="63"/>
  <c r="D7" i="63"/>
  <c r="D6" i="63"/>
  <c r="D5" i="63"/>
  <c r="D4" i="63"/>
  <c r="D3" i="63"/>
  <c r="I2" i="63"/>
  <c r="D2" i="63"/>
  <c r="D24" i="62"/>
  <c r="D23" i="62"/>
  <c r="D22" i="62"/>
  <c r="D21" i="62"/>
  <c r="D20" i="62"/>
  <c r="D19" i="62"/>
  <c r="D18" i="62"/>
  <c r="D17" i="62"/>
  <c r="D16" i="62"/>
  <c r="D15" i="62"/>
  <c r="D14" i="62"/>
  <c r="D13" i="62"/>
  <c r="D12" i="62"/>
  <c r="D11" i="62"/>
  <c r="D10" i="62"/>
  <c r="D9" i="62"/>
  <c r="I2" i="62" s="1"/>
  <c r="D8" i="62"/>
  <c r="D7" i="62"/>
  <c r="D6" i="62"/>
  <c r="D5" i="62"/>
  <c r="D4" i="62"/>
  <c r="D3" i="62"/>
  <c r="D2" i="62"/>
  <c r="D23" i="61"/>
  <c r="D22" i="61"/>
  <c r="D21" i="61"/>
  <c r="D20" i="61"/>
  <c r="D19" i="61"/>
  <c r="D18" i="61"/>
  <c r="D17" i="61"/>
  <c r="D16" i="61"/>
  <c r="D15" i="61"/>
  <c r="D14" i="61"/>
  <c r="D13" i="61"/>
  <c r="D12" i="61"/>
  <c r="D11" i="61"/>
  <c r="D10" i="61"/>
  <c r="D9" i="61"/>
  <c r="D8" i="61"/>
  <c r="D7" i="61"/>
  <c r="D6" i="61"/>
  <c r="I2" i="61" s="1"/>
  <c r="D5" i="61"/>
  <c r="D4" i="61"/>
  <c r="D3" i="61"/>
  <c r="D2" i="61"/>
  <c r="D22" i="60"/>
  <c r="D21" i="60"/>
  <c r="D20" i="60"/>
  <c r="D19" i="60"/>
  <c r="D18" i="60"/>
  <c r="D17" i="60"/>
  <c r="D16" i="60"/>
  <c r="D15" i="60"/>
  <c r="D14" i="60"/>
  <c r="D13" i="60"/>
  <c r="D12" i="60"/>
  <c r="D11" i="60"/>
  <c r="D10" i="60"/>
  <c r="D9" i="60"/>
  <c r="D8" i="60"/>
  <c r="D7" i="60"/>
  <c r="D6" i="60"/>
  <c r="D5" i="60"/>
  <c r="D4" i="60"/>
  <c r="D3" i="60"/>
  <c r="I2" i="60"/>
  <c r="D2" i="60"/>
  <c r="D23" i="59"/>
  <c r="D22" i="59"/>
  <c r="D21" i="59"/>
  <c r="D20" i="59"/>
  <c r="D19" i="59"/>
  <c r="D18" i="59"/>
  <c r="D17" i="59"/>
  <c r="D16" i="59"/>
  <c r="D15" i="59"/>
  <c r="D14" i="59"/>
  <c r="D13" i="59"/>
  <c r="D12" i="59"/>
  <c r="D11" i="59"/>
  <c r="D10" i="59"/>
  <c r="D9" i="59"/>
  <c r="D8" i="59"/>
  <c r="D7" i="59"/>
  <c r="D6" i="59"/>
  <c r="D5" i="59"/>
  <c r="D4" i="59"/>
  <c r="D3" i="59"/>
  <c r="I2" i="59"/>
  <c r="D2" i="59"/>
  <c r="D23" i="58"/>
  <c r="D22" i="58"/>
  <c r="D21" i="58"/>
  <c r="D20" i="58"/>
  <c r="D19" i="58"/>
  <c r="D18" i="58"/>
  <c r="D17" i="58"/>
  <c r="D16" i="58"/>
  <c r="D15" i="58"/>
  <c r="D14" i="58"/>
  <c r="D13" i="58"/>
  <c r="D12" i="58"/>
  <c r="D11" i="58"/>
  <c r="D10" i="58"/>
  <c r="D9" i="58"/>
  <c r="D8" i="58"/>
  <c r="D7" i="58"/>
  <c r="D6" i="58"/>
  <c r="D5" i="58"/>
  <c r="D4" i="58"/>
  <c r="D3" i="58"/>
  <c r="I2" i="58"/>
  <c r="D2" i="58"/>
  <c r="D17" i="57"/>
  <c r="D16" i="57"/>
  <c r="D15" i="57"/>
  <c r="D14" i="57"/>
  <c r="D13" i="57"/>
  <c r="D12" i="57"/>
  <c r="D11" i="57"/>
  <c r="D10" i="57"/>
  <c r="D9" i="57"/>
  <c r="D8" i="57"/>
  <c r="D7" i="57"/>
  <c r="D5" i="57"/>
  <c r="D4" i="57"/>
  <c r="D3" i="57"/>
  <c r="I2" i="57"/>
  <c r="D2" i="57"/>
  <c r="I5" i="57"/>
  <c r="I5" i="58" s="1"/>
  <c r="I5" i="59" s="1"/>
  <c r="I5" i="60" s="1"/>
  <c r="I5" i="61" s="1"/>
  <c r="I5" i="62" s="1"/>
  <c r="I5" i="63" s="1"/>
  <c r="I5" i="64" s="1"/>
  <c r="I5" i="65" s="1"/>
  <c r="D23" i="56"/>
  <c r="D22" i="56"/>
  <c r="D21" i="56"/>
  <c r="D20" i="56"/>
  <c r="D19" i="56"/>
  <c r="D18" i="56"/>
  <c r="D17" i="56"/>
  <c r="D16" i="56"/>
  <c r="D15" i="56"/>
  <c r="D14" i="56"/>
  <c r="D13" i="56"/>
  <c r="D12" i="56"/>
  <c r="D11" i="56"/>
  <c r="D10" i="56"/>
  <c r="D9" i="56"/>
  <c r="D8" i="56"/>
  <c r="D7" i="56"/>
  <c r="D6" i="56"/>
  <c r="H5" i="56"/>
  <c r="D5" i="56"/>
  <c r="D4" i="56"/>
  <c r="D3" i="56"/>
  <c r="H2" i="56"/>
  <c r="D2" i="56"/>
  <c r="I2" i="56" s="1"/>
  <c r="I2" i="66" l="1"/>
  <c r="J2" i="62"/>
  <c r="K2" i="62" s="1"/>
  <c r="J2" i="61"/>
  <c r="K2" i="61" s="1"/>
  <c r="I5" i="66"/>
  <c r="I5" i="67" s="1"/>
</calcChain>
</file>

<file path=xl/sharedStrings.xml><?xml version="1.0" encoding="utf-8"?>
<sst xmlns="http://schemas.openxmlformats.org/spreadsheetml/2006/main" count="262" uniqueCount="59">
  <si>
    <t>Day</t>
  </si>
  <si>
    <t>From</t>
  </si>
  <si>
    <t>To</t>
  </si>
  <si>
    <t>Hours</t>
  </si>
  <si>
    <t>Concept</t>
  </si>
  <si>
    <t>Comments</t>
  </si>
  <si>
    <t>Days Worked</t>
  </si>
  <si>
    <t>Total hours</t>
  </si>
  <si>
    <t>Billable amount</t>
  </si>
  <si>
    <t>VAT incl.</t>
  </si>
  <si>
    <t>Holiday</t>
  </si>
  <si>
    <t>Año nuevo</t>
  </si>
  <si>
    <t>Not Worked</t>
  </si>
  <si>
    <t>Holidays</t>
  </si>
  <si>
    <t>Remaining Contract #1
 January 26</t>
  </si>
  <si>
    <t>Epifanía del Señor</t>
  </si>
  <si>
    <t>Worked</t>
  </si>
  <si>
    <t>Semana Santa Guardería Isabel</t>
  </si>
  <si>
    <t>Jueves Santo</t>
  </si>
  <si>
    <t>Viernes Santo</t>
  </si>
  <si>
    <t>Fiesta del trabajo</t>
  </si>
  <si>
    <t>Fiesta Nacional</t>
  </si>
  <si>
    <t>Traslado Todos los Santos</t>
  </si>
  <si>
    <t>Traslado Día de la Constitución Española</t>
  </si>
  <si>
    <t>Inmaculada Concepción</t>
  </si>
  <si>
    <t>Navidad</t>
  </si>
  <si>
    <t>-[AI Enablement] Desarrollo PoC text-to-BPMN (en curso)
-[Process PaaS] BAMOE Management Console: integración con OIDC, pruebas EntraID (en curso)</t>
  </si>
  <si>
    <t>-[AI Enablement] Desarrollo PoC text-to-BPMN (en curso)
-[Process PaaS] Monitoring: revisión casos de soporte (en curso)
-[Process PaaS] BAMOE Management Console: integración con OIDC, pruebas EntraID (FINALIZADO)</t>
  </si>
  <si>
    <t>-[AI Enablement] Desarrollo PoC text-to-BPMN (en curso)
-[Process PaaS] BAMOE Data Cleanup Tool: preparación entorno pruebas (en curso)
-[Process PaaS] BAMOE Management Console: adaptaciones aplicación BAMOE+SOS (en curso)</t>
  </si>
  <si>
    <t>-[Process PaaS] BAMOE Management Console: análisis plataforma seguridad SOS (en curso)
-[AI Enablement] Análisis e investigación sobre Human-in-the-Loop (en curso)</t>
  </si>
  <si>
    <t>-[AI Enablement] Desarrollo PoC text-to-BPMN (en curso)
-[Process PaaS] BAMOE Management Console: integración con OIDC, pruebas EntraID (en curso)
-[AI Enablement] Análisis e investigación sobre Human-in-the-Loop (en curso)</t>
  </si>
  <si>
    <t>-[AI Enablement] Actualización estado Langflow y proyecto Chargeback (en curso)</t>
  </si>
  <si>
    <t>-[Process PaaS] BAMOE: revisión y pruebas casos de soporte (en curso)
-[AI Enablement] Actualización estado Langflow y proyecto Chargeback (en curso)</t>
  </si>
  <si>
    <t>-[AI Enablement] Actualización estado Langflow y proyecto Chargeback (en curso)
-[Process PaaS] BAMOE: revisión y pruebas casos de soporte (en curso)
-[AI Enablement] Sesión de trabajo: tareas a abordar 2026</t>
  </si>
  <si>
    <t>-[Process PaaS] BAMOE: revisión y pruebas casos de soporte (en curso)
-[Process PaaS] Sprint Review</t>
  </si>
  <si>
    <t>-[Process PaaS] BAMOE: revisión y pruebas casos de soporte (en curso)
-[Process PaaS] Foro técnico
-[Process PaaS] Sprint Planning</t>
  </si>
  <si>
    <t>-[AI Enablement] Reunión Sentinel
-[AI Enablement] Preparación demo OpenTelemetry (en curso)</t>
  </si>
  <si>
    <t>-[Process PaaS] [SCIB] Trabajo sobre puntos pendientes monitoring: cancel, trigger, reschedule (en curso)</t>
  </si>
  <si>
    <t>-[AI Enablement] Instalación IBM MCP Context Forge en SDS DEV: creación componente y configuración Helm Chart (FINALIZADO)
-[Process PaaS] BAMOE Data Cleanup Tool: pruebas y documentación conclusiones (en curso)</t>
  </si>
  <si>
    <t>-[AI Enablement] Instalación IBM MCP Context Forge en SDS DEV: despliegue y pruebas (en curso)
-[Process PaaS] BAMOE Data Cleanup Tool: pruebas y documentación conclusiones (FINALIZADO)</t>
  </si>
  <si>
    <t>-[AI Enablement] Instalación IBM MCP Context Forge en SDS DEV: creación componente y configuración Helm Chart (en curso)
-[AI Enablement] Reunión planificación
-[Process PaaS] BAMOE Management Console: Preparación reproducer bugs custom base path y Env vars omitidas (FINALIZADO)</t>
  </si>
  <si>
    <t>-[AI Enablement] Preparación demo foro técnico: text-to-BPMN
-[Process PaaS] Foro técnico
-[Process PaaS] BAMOE Management Console: adaptaciones aplicación BAMOE+SOS (en curso)</t>
  </si>
  <si>
    <t>-[Process PaaS] BAMOE Management Console: adaptaciones aplicación BAMOE+SOS (BLOQUEADO)
-[Process PaaS] BAMOE Management Console: Preparación reproducer bugs custom base path y Env vars omitidas (en curso)</t>
  </si>
  <si>
    <t>-[AI Enablement] Creación imagen OpenTelemetry Collector (FINALIZADO)
-[AI Enablement] Despliegue OpenTelemetry Collector en Kubernetes local para pruebas de Helm Chart (FINALIZADO)
-[AI Enablement] Creación imagen Docling (FINALIZADO)
-[Process PaaS] Revisión y propuestas de mejora de proceso Maisa en Chile (FINALIZADO)</t>
  </si>
  <si>
    <t>-[AI Enablement] Análisis Docling: pruebas sobre pipelines OCR y VLM (en curso)
-[Process PaaS] Análisis incidencia proceso QAFC en Producción (FINALIZADO)</t>
  </si>
  <si>
    <t>-[AI Enablement] Análisis Docling: pruebas sobre pipelines OCR y VLM (en curso)
-[Process PaaS] Análisis problema protobuf en migración de proceso de BAMOE 9.2.0 a 9.3.1 (en curso)</t>
  </si>
  <si>
    <t>-[AI Enablement] Instalación IBM MCP Context Forge en SDS DEV: despliegue y pruebas (FINALIZADO)
-[Process PaaS] BAMOE Data Cleanup Tool: análisis vulnerabilidades y subida de imagen a ECR (en curso)
-[Process PaaS] Reunión revisión monitoring Process PaaS con SCIB</t>
  </si>
  <si>
    <t>-[Process PaaS] Sprint Review
-[Process PaaS] BAMOE Data Cleanup Tool: análisis vulnerabilidades y subida de imagen a ECR (FINALIZADO)</t>
  </si>
  <si>
    <t>-[AI Enablement] Reunión de equipo
-[AI Enablement] Análisis Docling: pruebas sobre pipelines OCR y VLM (en curso)</t>
  </si>
  <si>
    <t>-[Process PaaS] Sprint Planning
-[AI Enablement] Reunión de equipo
-[AI Enablement] Reunión con AI Labs
-[AI Enablement] Análisis Docling: instalación local (en curso)</t>
  </si>
  <si>
    <t>-[AI Enablement] Análisis Docling: instalación local (FINALIZADO)
-[AI Enablement] Análisis Docling: pruebas sobre pipelines OCR y VLM (en curso)</t>
  </si>
  <si>
    <t>-[AI Enablement] Foro MCP: presentación IBM MCP Context Forge
-[AI Enablement] Análisis Docling: pruebas sobre pipelines OCR y VLM (en curso)</t>
  </si>
  <si>
    <t>-[Process PaaS] BAMOE Data Cleanup Tool: despliegue en Kubernetes local como Cron Job (en curso)
-[AI Enablement] OpenTelemetry Collector: creación de Helm Chart y despliegue en EKS (en curso)</t>
  </si>
  <si>
    <t>-[Process PaaS] BAMOE Data Cleanup Tool: despliegue en Kubernetes local como Cron Job (FINALIZADO)
-[AI Enablement] OpenTelemetry Collector: creación de Helm Chart y despliegue en EKS (FINALIZADO)
-[AI Enablement] OpenTelemetry Collector: creación de app BAMOE y envío de trazas a collector (FINALIZADO)</t>
  </si>
  <si>
    <t xml:space="preserve">-[AI Enablement] OpenTelemetry Collector: integración exporter AWSS3 para almacenamiento de trazas (FINALIZADO)
-[BAMOE] Análisis envío de eventos a Kafka en batch al finalizar transacción BPMN (FINALIZADO)
-[Process PaaS] BAMOE Data Cleanup Tool: reunión para trasladar Cron Job local a EKS (FINALIZADO)
</t>
  </si>
  <si>
    <t>-[AI Enablement] Reunión de equipo
-[AI Enablement] Reunión con equipo de AI Labs para análisis de observabilidad de agentes
-[AI Enablement] OpenTelemetry Collector: exploración exporter S3 con seguridad integrada (FINALIZADO)
-[BAMOE] Análisis personalización de información a enviar al OTEL Collector (en curso)</t>
  </si>
  <si>
    <t>-[AI Enablement] Reunión con Data&amp;AI para Neural Trust
-[AI Enablement] Reunión con Seguridad
-[Process PaaS] BAMOE Data Cleanup Tool: primera ejecución de Job en EKS (FINALIZADO)</t>
  </si>
  <si>
    <t>-[AI Enablement] n8n: PoC OpenTelemetry + Prometheus + Loki + Grafana, montaje plataforma local (en curso)
-[AI Enablement] Análisis código AI Labs de PoC Sentinels (en curso)</t>
  </si>
  <si>
    <t>-[Process PaaS] BAMOE Data Cleanup Tool: adaptaciones Job para variabilizar entrada (FINALIZADO)
-[Process PaaS] BAMOE Data Cleanup Tool: preparación slides foro técnico
-[Process PaaS] Foro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</si>
</sst>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"/>
    <numFmt numFmtId="165" formatCode="[h]:mm:ss;@"/>
    <numFmt numFmtId="166" formatCode="[$-F800]dddd\,\ mmmm\ dd\,\ yyyy"/>
    <numFmt numFmtId="167" formatCode="[h]: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6" fontId="1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left" vertical="center" wrapText="1"/>
    </xf>
    <xf numFmtId="166" fontId="1" fillId="2" borderId="0" xfId="0" applyNumberFormat="1" applyFont="1" applyFill="1" applyAlignment="1">
      <alignment horizontal="center" vertical="center"/>
    </xf>
    <xf numFmtId="2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quotePrefix="1" applyFont="1" applyFill="1" applyAlignment="1">
      <alignment horizontal="center" vertical="center" wrapText="1"/>
    </xf>
    <xf numFmtId="0" fontId="1" fillId="2" borderId="0" xfId="0" quotePrefix="1" applyFont="1" applyFill="1" applyAlignment="1">
      <alignment horizontal="left" vertical="center" wrapText="1"/>
    </xf>
    <xf numFmtId="165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640E-D374-4F55-BFF9-285412D2E014}">
  <dimension ref="A1:K23"/>
  <sheetViews>
    <sheetView tabSelected="1" topLeftCell="E7" workbookViewId="0">
      <selection activeCell="F13" sqref="F13"/>
    </sheetView>
  </sheetViews>
  <sheetFormatPr defaultRowHeight="14.5" x14ac:dyDescent="0.35"/>
  <cols>
    <col min="1" max="1" width="36.453125" style="10" customWidth="1"/>
    <col min="2" max="2" width="12" style="4" customWidth="1"/>
    <col min="3" max="3" width="9.7265625" style="4" customWidth="1"/>
    <col min="4" max="4" width="10.54296875" style="4" customWidth="1"/>
    <col min="5" max="5" width="11.7265625" style="4" customWidth="1"/>
    <col min="6" max="6" width="97.26953125" style="4" customWidth="1"/>
    <col min="8" max="8" width="13.54296875" style="4" customWidth="1"/>
    <col min="9" max="9" width="31.81640625" style="4" customWidth="1"/>
  </cols>
  <sheetData>
    <row r="1" spans="1:11" s="1" customFormat="1" x14ac:dyDescent="0.35">
      <c r="A1" s="1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5" t="s">
        <v>6</v>
      </c>
      <c r="I1" s="6" t="s">
        <v>7</v>
      </c>
    </row>
    <row r="2" spans="1:11" ht="60" customHeight="1" x14ac:dyDescent="0.35">
      <c r="A2" s="14">
        <v>46023</v>
      </c>
      <c r="B2" s="15">
        <v>0.41666666666666669</v>
      </c>
      <c r="C2" s="15">
        <v>0.75</v>
      </c>
      <c r="D2" s="15">
        <f t="shared" ref="D2:D23" si="0">C2-B2</f>
        <v>0.33333333333333331</v>
      </c>
      <c r="E2" s="16" t="s">
        <v>10</v>
      </c>
      <c r="F2" s="17" t="s">
        <v>11</v>
      </c>
      <c r="H2" s="4">
        <f>COUNTIF(E:E, "=Worked")</f>
        <v>0</v>
      </c>
      <c r="I2" s="8">
        <f>SUMIF(E:E, "=Worked", D:D)</f>
        <v>0</v>
      </c>
    </row>
    <row r="3" spans="1:11" s="11" customFormat="1" ht="60" customHeight="1" x14ac:dyDescent="0.35">
      <c r="A3" s="10">
        <v>46024</v>
      </c>
      <c r="B3" s="3">
        <v>0.41666666666666669</v>
      </c>
      <c r="C3" s="3">
        <v>0.70833333333333337</v>
      </c>
      <c r="D3" s="3">
        <f t="shared" si="0"/>
        <v>0.29166666666666669</v>
      </c>
      <c r="E3" s="4" t="s">
        <v>12</v>
      </c>
      <c r="F3" s="13"/>
      <c r="H3" s="4"/>
      <c r="I3" s="4"/>
    </row>
    <row r="4" spans="1:11" ht="60" customHeight="1" x14ac:dyDescent="0.35">
      <c r="A4" s="10">
        <v>46027</v>
      </c>
      <c r="B4" s="3">
        <v>0.41666666666666702</v>
      </c>
      <c r="C4" s="3">
        <v>0.75</v>
      </c>
      <c r="D4" s="3">
        <f t="shared" si="0"/>
        <v>0.33333333333333298</v>
      </c>
      <c r="E4" s="4" t="s">
        <v>12</v>
      </c>
      <c r="F4" s="13"/>
      <c r="H4" s="5" t="s">
        <v>13</v>
      </c>
      <c r="I4" s="19" t="s">
        <v>14</v>
      </c>
    </row>
    <row r="5" spans="1:11" ht="60" customHeight="1" x14ac:dyDescent="0.35">
      <c r="A5" s="14">
        <v>46028</v>
      </c>
      <c r="B5" s="15">
        <v>0.41666666666666702</v>
      </c>
      <c r="C5" s="15">
        <v>0.75</v>
      </c>
      <c r="D5" s="15">
        <f t="shared" si="0"/>
        <v>0.33333333333333298</v>
      </c>
      <c r="E5" s="16" t="s">
        <v>10</v>
      </c>
      <c r="F5" s="17" t="s">
        <v>15</v>
      </c>
      <c r="H5" s="4">
        <f>COUNTIF(E:E, "=Vacation")+ COUNTIF(E:E, "=Holiday")</f>
        <v>2</v>
      </c>
      <c r="I5" s="21">
        <f ca="1">"1600:00"-SUMIF(E:E, "=Worked", D1:D23)</f>
        <v>66.666666666666671</v>
      </c>
    </row>
    <row r="6" spans="1:11" ht="60" customHeight="1" x14ac:dyDescent="0.35">
      <c r="A6" s="10">
        <v>46029</v>
      </c>
      <c r="B6" s="3">
        <v>0.41666666666666702</v>
      </c>
      <c r="C6" s="3">
        <v>0.75</v>
      </c>
      <c r="D6" s="3">
        <f t="shared" si="0"/>
        <v>0.33333333333333298</v>
      </c>
      <c r="E6" s="4" t="s">
        <v>12</v>
      </c>
      <c r="F6" s="13"/>
    </row>
    <row r="7" spans="1:11" ht="60" customHeight="1" x14ac:dyDescent="0.35">
      <c r="A7" s="10">
        <v>46030</v>
      </c>
      <c r="B7" s="3">
        <v>0.41666666666666702</v>
      </c>
      <c r="C7" s="3">
        <v>0.75</v>
      </c>
      <c r="D7" s="3">
        <f t="shared" si="0"/>
        <v>0.33333333333333298</v>
      </c>
      <c r="E7" s="4" t="s">
        <v>12</v>
      </c>
      <c r="F7" s="22"/>
    </row>
    <row r="8" spans="1:11" ht="60" customHeight="1" x14ac:dyDescent="0.35">
      <c r="A8" s="10">
        <v>46031</v>
      </c>
      <c r="B8" s="3">
        <v>0.41666666666666702</v>
      </c>
      <c r="C8" s="3">
        <v>0.70833333333333337</v>
      </c>
      <c r="D8" s="3">
        <f t="shared" si="0"/>
        <v>0.29166666666666635</v>
      </c>
      <c r="E8" s="4" t="s">
        <v>12</v>
      </c>
      <c r="F8" s="13"/>
    </row>
    <row r="9" spans="1:11" ht="60" customHeight="1" x14ac:dyDescent="0.35">
      <c r="A9" s="10">
        <v>46034</v>
      </c>
      <c r="B9" s="3">
        <v>0.41666666666666702</v>
      </c>
      <c r="C9" s="3">
        <v>0.75</v>
      </c>
      <c r="D9" s="3">
        <f t="shared" si="0"/>
        <v>0.33333333333333298</v>
      </c>
      <c r="E9" s="4" t="s">
        <v>12</v>
      </c>
      <c r="F9" s="13"/>
    </row>
    <row r="10" spans="1:11" ht="60" customHeight="1" x14ac:dyDescent="0.35">
      <c r="A10" s="10">
        <v>46035</v>
      </c>
      <c r="B10" s="3">
        <v>0.41666666666666702</v>
      </c>
      <c r="C10" s="3">
        <v>0.75</v>
      </c>
      <c r="D10" s="3">
        <f t="shared" si="0"/>
        <v>0.33333333333333298</v>
      </c>
      <c r="E10" s="4" t="s">
        <v>12</v>
      </c>
      <c r="F10" s="13"/>
    </row>
    <row r="11" spans="1:11" ht="60" customHeight="1" x14ac:dyDescent="0.35">
      <c r="A11" s="10">
        <v>46036</v>
      </c>
      <c r="B11" s="3">
        <v>0.41666666666666702</v>
      </c>
      <c r="C11" s="3">
        <v>0.75</v>
      </c>
      <c r="D11" s="3">
        <f t="shared" si="0"/>
        <v>0.33333333333333298</v>
      </c>
      <c r="E11" s="4" t="s">
        <v>12</v>
      </c>
      <c r="F11" s="13"/>
      <c r="J11" s="4"/>
    </row>
    <row r="12" spans="1:11" s="2" customFormat="1" ht="60" customHeight="1" x14ac:dyDescent="0.35">
      <c r="A12" s="10">
        <v>46037</v>
      </c>
      <c r="B12" s="3">
        <v>0.41666666666666702</v>
      </c>
      <c r="C12" s="3">
        <v>0.75</v>
      </c>
      <c r="D12" s="3">
        <f t="shared" si="0"/>
        <v>0.33333333333333298</v>
      </c>
      <c r="E12" s="4" t="s">
        <v>12</v>
      </c>
      <c r="F12" s="13"/>
      <c r="G12"/>
      <c r="H12" s="4"/>
      <c r="I12" s="4"/>
      <c r="J12" s="4"/>
      <c r="K12"/>
    </row>
    <row r="13" spans="1:11" s="2" customFormat="1" ht="60" customHeight="1" x14ac:dyDescent="0.35">
      <c r="A13" s="10">
        <v>46038</v>
      </c>
      <c r="B13" s="3">
        <v>0.41666666666666702</v>
      </c>
      <c r="C13" s="3">
        <v>0.70833333333333337</v>
      </c>
      <c r="D13" s="3">
        <f t="shared" si="0"/>
        <v>0.29166666666666635</v>
      </c>
      <c r="E13" s="4" t="s">
        <v>12</v>
      </c>
      <c r="F13" s="13"/>
      <c r="G13"/>
      <c r="H13" s="4"/>
      <c r="I13" s="4"/>
      <c r="J13" s="4"/>
      <c r="K13"/>
    </row>
    <row r="14" spans="1:11" s="2" customFormat="1" ht="60" customHeight="1" x14ac:dyDescent="0.35">
      <c r="A14" s="10">
        <v>46041</v>
      </c>
      <c r="B14" s="3">
        <v>0.41666666666666702</v>
      </c>
      <c r="C14" s="3">
        <v>0.75</v>
      </c>
      <c r="D14" s="3">
        <f t="shared" si="0"/>
        <v>0.33333333333333298</v>
      </c>
      <c r="E14" s="4" t="s">
        <v>12</v>
      </c>
      <c r="F14" s="13"/>
      <c r="G14"/>
      <c r="H14" s="4"/>
    </row>
    <row r="15" spans="1:11" s="2" customFormat="1" ht="60" customHeight="1" x14ac:dyDescent="0.35">
      <c r="A15" s="10">
        <v>46042</v>
      </c>
      <c r="B15" s="3">
        <v>0.41666666666666702</v>
      </c>
      <c r="C15" s="3">
        <v>0.75</v>
      </c>
      <c r="D15" s="3">
        <f t="shared" si="0"/>
        <v>0.33333333333333298</v>
      </c>
      <c r="E15" s="4" t="s">
        <v>12</v>
      </c>
      <c r="F15" s="13"/>
      <c r="G15"/>
      <c r="H15" s="4"/>
      <c r="I15" s="4"/>
    </row>
    <row r="16" spans="1:11" ht="60" customHeight="1" x14ac:dyDescent="0.35">
      <c r="A16" s="10">
        <v>46043</v>
      </c>
      <c r="B16" s="3">
        <v>0.41666666666666702</v>
      </c>
      <c r="C16" s="3">
        <v>0.75</v>
      </c>
      <c r="D16" s="3">
        <f t="shared" si="0"/>
        <v>0.33333333333333298</v>
      </c>
      <c r="E16" s="4" t="s">
        <v>12</v>
      </c>
      <c r="F16" s="13"/>
    </row>
    <row r="17" spans="1:6" ht="60" customHeight="1" x14ac:dyDescent="0.35">
      <c r="A17" s="10">
        <v>46044</v>
      </c>
      <c r="B17" s="3">
        <v>0.41666666666666702</v>
      </c>
      <c r="C17" s="3">
        <v>0.75</v>
      </c>
      <c r="D17" s="3">
        <f t="shared" si="0"/>
        <v>0.33333333333333298</v>
      </c>
      <c r="E17" s="4" t="s">
        <v>12</v>
      </c>
      <c r="F17" s="13"/>
    </row>
    <row r="18" spans="1:6" ht="60" customHeight="1" x14ac:dyDescent="0.35">
      <c r="A18" s="10">
        <v>46045</v>
      </c>
      <c r="B18" s="3">
        <v>0.41666666666666702</v>
      </c>
      <c r="C18" s="3">
        <v>0.70833333333333337</v>
      </c>
      <c r="D18" s="3">
        <f t="shared" si="0"/>
        <v>0.29166666666666635</v>
      </c>
      <c r="E18" s="4" t="s">
        <v>12</v>
      </c>
      <c r="F18" s="13"/>
    </row>
    <row r="19" spans="1:6" ht="60" customHeight="1" x14ac:dyDescent="0.35">
      <c r="A19" s="10">
        <v>46048</v>
      </c>
      <c r="B19" s="3">
        <v>0.41666666666666702</v>
      </c>
      <c r="C19" s="3">
        <v>0.75</v>
      </c>
      <c r="D19" s="3">
        <f t="shared" si="0"/>
        <v>0.33333333333333298</v>
      </c>
      <c r="E19" s="4" t="s">
        <v>12</v>
      </c>
      <c r="F19" s="13"/>
    </row>
    <row r="20" spans="1:6" ht="60" customHeight="1" x14ac:dyDescent="0.35">
      <c r="A20" s="10">
        <v>46049</v>
      </c>
      <c r="B20" s="3">
        <v>0.41666666666666702</v>
      </c>
      <c r="C20" s="3">
        <v>0.75</v>
      </c>
      <c r="D20" s="3">
        <f t="shared" si="0"/>
        <v>0.33333333333333298</v>
      </c>
      <c r="E20" s="4" t="s">
        <v>12</v>
      </c>
      <c r="F20" s="22"/>
    </row>
    <row r="21" spans="1:6" ht="60" customHeight="1" x14ac:dyDescent="0.35">
      <c r="A21" s="10">
        <v>46050</v>
      </c>
      <c r="B21" s="3">
        <v>0.41666666666666702</v>
      </c>
      <c r="C21" s="3">
        <v>0.75</v>
      </c>
      <c r="D21" s="3">
        <f t="shared" si="0"/>
        <v>0.33333333333333298</v>
      </c>
      <c r="E21" s="4" t="s">
        <v>12</v>
      </c>
      <c r="F21" s="22"/>
    </row>
    <row r="22" spans="1:6" ht="60" customHeight="1" x14ac:dyDescent="0.35">
      <c r="A22" s="10">
        <v>46051</v>
      </c>
      <c r="B22" s="3">
        <v>0.41666666666666702</v>
      </c>
      <c r="C22" s="3">
        <v>0.75</v>
      </c>
      <c r="D22" s="3">
        <f t="shared" si="0"/>
        <v>0.33333333333333298</v>
      </c>
      <c r="E22" s="4" t="s">
        <v>12</v>
      </c>
      <c r="F22" s="13"/>
    </row>
    <row r="23" spans="1:6" ht="60" customHeight="1" x14ac:dyDescent="0.35">
      <c r="A23" s="10">
        <v>46052</v>
      </c>
      <c r="B23" s="3">
        <v>0.41666666666666702</v>
      </c>
      <c r="C23" s="3">
        <v>0.70833333333333337</v>
      </c>
      <c r="D23" s="3">
        <f t="shared" si="0"/>
        <v>0.29166666666666635</v>
      </c>
      <c r="E23" s="4" t="s">
        <v>12</v>
      </c>
      <c r="F23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70C2A-2D84-47C6-8184-095B5F060196}">
  <dimension ref="A1:K21"/>
  <sheetViews>
    <sheetView topLeftCell="E6" workbookViewId="0">
      <selection activeCell="J11" sqref="J11:K13"/>
    </sheetView>
  </sheetViews>
  <sheetFormatPr defaultRowHeight="14.5" x14ac:dyDescent="0.35"/>
  <cols>
    <col min="1" max="1" width="36.453125" style="10" customWidth="1"/>
    <col min="2" max="2" width="12" style="4" customWidth="1"/>
    <col min="3" max="3" width="9.7265625" style="4" customWidth="1"/>
    <col min="4" max="4" width="10.54296875" style="4" customWidth="1"/>
    <col min="5" max="5" width="11.7265625" style="4" customWidth="1"/>
    <col min="6" max="6" width="98.81640625" style="24" customWidth="1"/>
    <col min="8" max="8" width="13.54296875" style="4" customWidth="1"/>
    <col min="9" max="9" width="31.81640625" style="4" customWidth="1"/>
  </cols>
  <sheetData>
    <row r="1" spans="1:11" s="1" customFormat="1" x14ac:dyDescent="0.35">
      <c r="A1" s="1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3" t="s">
        <v>5</v>
      </c>
      <c r="H1" s="5" t="s">
        <v>6</v>
      </c>
      <c r="I1" s="6" t="s">
        <v>7</v>
      </c>
    </row>
    <row r="2" spans="1:11" ht="60" customHeight="1" x14ac:dyDescent="0.35">
      <c r="A2" s="10">
        <v>46055</v>
      </c>
      <c r="B2" s="3">
        <v>0.41666666666666669</v>
      </c>
      <c r="C2" s="3">
        <v>0.75</v>
      </c>
      <c r="D2" s="3">
        <f t="shared" ref="D2:D21" si="0">C2-B2</f>
        <v>0.33333333333333331</v>
      </c>
      <c r="E2" s="4" t="s">
        <v>16</v>
      </c>
      <c r="F2" s="13" t="s">
        <v>31</v>
      </c>
      <c r="H2" s="4">
        <f>COUNTIF(E:E, "=Worked")</f>
        <v>20</v>
      </c>
      <c r="I2" s="8">
        <f>SUMIF(E:E, "=Worked", D:D)</f>
        <v>6.4999999999999938</v>
      </c>
    </row>
    <row r="3" spans="1:11" s="11" customFormat="1" ht="60" customHeight="1" x14ac:dyDescent="0.35">
      <c r="A3" s="10">
        <v>46056</v>
      </c>
      <c r="B3" s="3">
        <v>0.41666666666666669</v>
      </c>
      <c r="C3" s="3">
        <v>0.75</v>
      </c>
      <c r="D3" s="3">
        <f t="shared" si="0"/>
        <v>0.33333333333333331</v>
      </c>
      <c r="E3" s="4" t="s">
        <v>16</v>
      </c>
      <c r="F3" s="13" t="s">
        <v>31</v>
      </c>
      <c r="H3" s="4"/>
      <c r="I3" s="4"/>
    </row>
    <row r="4" spans="1:11" ht="60" customHeight="1" x14ac:dyDescent="0.35">
      <c r="A4" s="10">
        <v>46057</v>
      </c>
      <c r="B4" s="3">
        <v>0.41666666666666702</v>
      </c>
      <c r="C4" s="3">
        <v>0.75</v>
      </c>
      <c r="D4" s="3">
        <f t="shared" si="0"/>
        <v>0.33333333333333298</v>
      </c>
      <c r="E4" s="4" t="s">
        <v>16</v>
      </c>
      <c r="F4" s="13" t="s">
        <v>33</v>
      </c>
      <c r="H4" s="5" t="s">
        <v>13</v>
      </c>
      <c r="I4" s="19" t="s">
        <v>14</v>
      </c>
    </row>
    <row r="5" spans="1:11" ht="60" customHeight="1" x14ac:dyDescent="0.35">
      <c r="A5" s="10">
        <v>46058</v>
      </c>
      <c r="B5" s="3">
        <v>0.41666666666666702</v>
      </c>
      <c r="C5" s="3">
        <v>0.75</v>
      </c>
      <c r="D5" s="3">
        <f t="shared" si="0"/>
        <v>0.33333333333333298</v>
      </c>
      <c r="E5" s="4" t="s">
        <v>16</v>
      </c>
      <c r="F5" s="13" t="s">
        <v>34</v>
      </c>
      <c r="H5" s="4">
        <f>COUNTIF(E:E, "=Vacation")+ COUNTIF(E:E, "=Holiday")</f>
        <v>0</v>
      </c>
      <c r="I5" s="21">
        <f ca="1">'January 26'!I5-SUMIF(E:E, "=Worked", D1:D21)</f>
        <v>60.166666666666679</v>
      </c>
    </row>
    <row r="6" spans="1:11" ht="60" customHeight="1" x14ac:dyDescent="0.35">
      <c r="A6" s="10">
        <v>46059</v>
      </c>
      <c r="B6" s="3">
        <v>0.41666666666666702</v>
      </c>
      <c r="C6" s="3">
        <v>0.70833333333333337</v>
      </c>
      <c r="D6" s="3">
        <f t="shared" si="0"/>
        <v>0.29166666666666635</v>
      </c>
      <c r="E6" s="4" t="s">
        <v>16</v>
      </c>
      <c r="F6" s="13" t="s">
        <v>32</v>
      </c>
    </row>
    <row r="7" spans="1:11" ht="60" customHeight="1" x14ac:dyDescent="0.35">
      <c r="A7" s="10">
        <v>46062</v>
      </c>
      <c r="B7" s="3">
        <v>0.41666666666666702</v>
      </c>
      <c r="C7" s="3">
        <v>0.75</v>
      </c>
      <c r="D7" s="3">
        <f t="shared" si="0"/>
        <v>0.33333333333333298</v>
      </c>
      <c r="E7" s="4" t="s">
        <v>16</v>
      </c>
      <c r="F7" s="13" t="s">
        <v>35</v>
      </c>
    </row>
    <row r="8" spans="1:11" ht="60" customHeight="1" x14ac:dyDescent="0.35">
      <c r="A8" s="10">
        <v>46063</v>
      </c>
      <c r="B8" s="3">
        <v>0.41666666666666702</v>
      </c>
      <c r="C8" s="3">
        <v>0.75</v>
      </c>
      <c r="D8" s="3">
        <f t="shared" si="0"/>
        <v>0.33333333333333298</v>
      </c>
      <c r="E8" s="4" t="s">
        <v>16</v>
      </c>
      <c r="F8" s="13" t="s">
        <v>37</v>
      </c>
    </row>
    <row r="9" spans="1:11" ht="60" customHeight="1" x14ac:dyDescent="0.35">
      <c r="A9" s="10">
        <v>46064</v>
      </c>
      <c r="B9" s="3">
        <v>0.41666666666666702</v>
      </c>
      <c r="C9" s="3">
        <v>0.75</v>
      </c>
      <c r="D9" s="3">
        <f t="shared" si="0"/>
        <v>0.33333333333333298</v>
      </c>
      <c r="E9" s="4" t="s">
        <v>16</v>
      </c>
      <c r="F9" s="13" t="s">
        <v>37</v>
      </c>
    </row>
    <row r="10" spans="1:11" ht="60" customHeight="1" x14ac:dyDescent="0.35">
      <c r="A10" s="10">
        <v>46065</v>
      </c>
      <c r="B10" s="3">
        <v>0.41666666666666702</v>
      </c>
      <c r="C10" s="3">
        <v>0.75</v>
      </c>
      <c r="D10" s="3">
        <f t="shared" si="0"/>
        <v>0.33333333333333298</v>
      </c>
      <c r="E10" s="4" t="s">
        <v>16</v>
      </c>
      <c r="F10" s="13" t="s">
        <v>36</v>
      </c>
    </row>
    <row r="11" spans="1:11" ht="60" customHeight="1" x14ac:dyDescent="0.35">
      <c r="A11" s="10">
        <v>46066</v>
      </c>
      <c r="B11" s="3">
        <v>0.41666666666666702</v>
      </c>
      <c r="C11" s="3">
        <v>0.70833333333333337</v>
      </c>
      <c r="D11" s="3">
        <f t="shared" si="0"/>
        <v>0.29166666666666635</v>
      </c>
      <c r="E11" s="4" t="s">
        <v>16</v>
      </c>
      <c r="F11" s="13" t="s">
        <v>29</v>
      </c>
      <c r="J11" s="4"/>
    </row>
    <row r="12" spans="1:11" s="2" customFormat="1" ht="60" customHeight="1" x14ac:dyDescent="0.35">
      <c r="A12" s="10">
        <v>46069</v>
      </c>
      <c r="B12" s="3">
        <v>0.41666666666666702</v>
      </c>
      <c r="C12" s="3">
        <v>0.75</v>
      </c>
      <c r="D12" s="3">
        <f t="shared" si="0"/>
        <v>0.33333333333333298</v>
      </c>
      <c r="E12" s="4" t="s">
        <v>16</v>
      </c>
      <c r="F12" s="13" t="s">
        <v>29</v>
      </c>
      <c r="G12"/>
      <c r="H12" s="4"/>
      <c r="I12" s="4"/>
      <c r="J12" s="4"/>
      <c r="K12"/>
    </row>
    <row r="13" spans="1:11" s="2" customFormat="1" ht="60" customHeight="1" x14ac:dyDescent="0.35">
      <c r="A13" s="10">
        <v>46070</v>
      </c>
      <c r="B13" s="3">
        <v>0.41666666666666702</v>
      </c>
      <c r="C13" s="3">
        <v>0.75</v>
      </c>
      <c r="D13" s="3">
        <f t="shared" si="0"/>
        <v>0.33333333333333298</v>
      </c>
      <c r="E13" s="4" t="s">
        <v>16</v>
      </c>
      <c r="F13" s="13" t="s">
        <v>30</v>
      </c>
      <c r="G13"/>
      <c r="H13" s="4"/>
      <c r="I13" s="4"/>
      <c r="J13" s="4"/>
      <c r="K13"/>
    </row>
    <row r="14" spans="1:11" s="2" customFormat="1" ht="60" customHeight="1" x14ac:dyDescent="0.35">
      <c r="A14" s="10">
        <v>46071</v>
      </c>
      <c r="B14" s="3">
        <v>0.41666666666666702</v>
      </c>
      <c r="C14" s="3">
        <v>0.75</v>
      </c>
      <c r="D14" s="3">
        <f t="shared" si="0"/>
        <v>0.33333333333333298</v>
      </c>
      <c r="E14" s="4" t="s">
        <v>16</v>
      </c>
      <c r="F14" s="13" t="s">
        <v>26</v>
      </c>
      <c r="G14"/>
      <c r="H14" s="4"/>
    </row>
    <row r="15" spans="1:11" s="2" customFormat="1" ht="60" customHeight="1" x14ac:dyDescent="0.35">
      <c r="A15" s="10">
        <v>46072</v>
      </c>
      <c r="B15" s="3">
        <v>0.41666666666666702</v>
      </c>
      <c r="C15" s="3">
        <v>0.75</v>
      </c>
      <c r="D15" s="3">
        <f t="shared" si="0"/>
        <v>0.33333333333333298</v>
      </c>
      <c r="E15" s="4" t="s">
        <v>16</v>
      </c>
      <c r="F15" s="13" t="s">
        <v>27</v>
      </c>
      <c r="G15"/>
      <c r="H15" s="4"/>
      <c r="I15" s="4"/>
    </row>
    <row r="16" spans="1:11" ht="60" customHeight="1" x14ac:dyDescent="0.35">
      <c r="A16" s="10">
        <v>46073</v>
      </c>
      <c r="B16" s="3">
        <v>0.41666666666666702</v>
      </c>
      <c r="C16" s="3">
        <v>0.70833333333333337</v>
      </c>
      <c r="D16" s="3">
        <f t="shared" si="0"/>
        <v>0.29166666666666635</v>
      </c>
      <c r="E16" s="4" t="s">
        <v>16</v>
      </c>
      <c r="F16" s="13" t="s">
        <v>28</v>
      </c>
    </row>
    <row r="17" spans="1:6" ht="60" customHeight="1" x14ac:dyDescent="0.35">
      <c r="A17" s="10">
        <v>46076</v>
      </c>
      <c r="B17" s="3">
        <v>0.41666666666666702</v>
      </c>
      <c r="C17" s="3">
        <v>0.75</v>
      </c>
      <c r="D17" s="3">
        <f t="shared" si="0"/>
        <v>0.33333333333333298</v>
      </c>
      <c r="E17" s="4" t="s">
        <v>16</v>
      </c>
      <c r="F17" s="13" t="s">
        <v>41</v>
      </c>
    </row>
    <row r="18" spans="1:6" ht="60" customHeight="1" x14ac:dyDescent="0.35">
      <c r="A18" s="10">
        <v>46077</v>
      </c>
      <c r="B18" s="3">
        <v>0.41666666666666702</v>
      </c>
      <c r="C18" s="3">
        <v>0.75</v>
      </c>
      <c r="D18" s="3">
        <f t="shared" si="0"/>
        <v>0.33333333333333298</v>
      </c>
      <c r="E18" s="4" t="s">
        <v>16</v>
      </c>
      <c r="F18" s="13" t="s">
        <v>42</v>
      </c>
    </row>
    <row r="19" spans="1:6" ht="60" customHeight="1" x14ac:dyDescent="0.35">
      <c r="A19" s="10">
        <v>46078</v>
      </c>
      <c r="B19" s="3">
        <v>0.41666666666666702</v>
      </c>
      <c r="C19" s="3">
        <v>0.75</v>
      </c>
      <c r="D19" s="3">
        <f t="shared" si="0"/>
        <v>0.33333333333333298</v>
      </c>
      <c r="E19" s="4" t="s">
        <v>16</v>
      </c>
      <c r="F19" s="13" t="s">
        <v>40</v>
      </c>
    </row>
    <row r="20" spans="1:6" ht="60" customHeight="1" x14ac:dyDescent="0.35">
      <c r="A20" s="10">
        <v>46079</v>
      </c>
      <c r="B20" s="3">
        <v>0.41666666666666702</v>
      </c>
      <c r="C20" s="3">
        <v>0.75</v>
      </c>
      <c r="D20" s="3">
        <f t="shared" si="0"/>
        <v>0.33333333333333298</v>
      </c>
      <c r="E20" s="4" t="s">
        <v>16</v>
      </c>
      <c r="F20" s="13" t="s">
        <v>38</v>
      </c>
    </row>
    <row r="21" spans="1:6" ht="60" customHeight="1" x14ac:dyDescent="0.35">
      <c r="A21" s="10">
        <v>46080</v>
      </c>
      <c r="B21" s="3">
        <v>0.41666666666666702</v>
      </c>
      <c r="C21" s="3">
        <v>0.70833333333333337</v>
      </c>
      <c r="D21" s="3">
        <f t="shared" si="0"/>
        <v>0.29166666666666635</v>
      </c>
      <c r="E21" s="4" t="s">
        <v>16</v>
      </c>
      <c r="F21" s="13" t="s">
        <v>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F0D5-F30F-470B-B254-259E8160D368}">
  <dimension ref="A1:K23"/>
  <sheetViews>
    <sheetView topLeftCell="F6" workbookViewId="0">
      <selection activeCell="J11" sqref="J11:K13"/>
    </sheetView>
  </sheetViews>
  <sheetFormatPr defaultRowHeight="14.5" x14ac:dyDescent="0.35"/>
  <cols>
    <col min="1" max="1" width="36.453125" style="10" customWidth="1"/>
    <col min="2" max="2" width="12" style="4" customWidth="1"/>
    <col min="3" max="3" width="9.7265625" style="4" customWidth="1"/>
    <col min="4" max="4" width="10.54296875" style="4" customWidth="1"/>
    <col min="5" max="5" width="11.7265625" style="4" customWidth="1"/>
    <col min="6" max="6" width="105.453125" style="4" customWidth="1"/>
    <col min="8" max="8" width="13.54296875" style="4" customWidth="1"/>
    <col min="9" max="9" width="31.81640625" style="4" customWidth="1"/>
  </cols>
  <sheetData>
    <row r="1" spans="1:11" s="1" customFormat="1" x14ac:dyDescent="0.35">
      <c r="A1" s="1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5" t="s">
        <v>6</v>
      </c>
      <c r="I1" s="6" t="s">
        <v>7</v>
      </c>
    </row>
    <row r="2" spans="1:11" ht="60" customHeight="1" x14ac:dyDescent="0.35">
      <c r="A2" s="10">
        <v>46083</v>
      </c>
      <c r="B2" s="3">
        <v>0.41666666666666669</v>
      </c>
      <c r="C2" s="3">
        <v>0.75</v>
      </c>
      <c r="D2" s="3">
        <f t="shared" ref="D2:D21" si="0">C2-B2</f>
        <v>0.33333333333333331</v>
      </c>
      <c r="E2" s="4" t="s">
        <v>16</v>
      </c>
      <c r="F2" s="13" t="s">
        <v>46</v>
      </c>
      <c r="H2" s="4">
        <f>COUNTIF(E:E, "=Worked")</f>
        <v>20</v>
      </c>
      <c r="I2" s="8">
        <f>SUMIF(E:E, "=Worked", D:D)</f>
        <v>6.4999999999999938</v>
      </c>
    </row>
    <row r="3" spans="1:11" s="11" customFormat="1" ht="60" customHeight="1" x14ac:dyDescent="0.35">
      <c r="A3" s="10">
        <v>46084</v>
      </c>
      <c r="B3" s="3">
        <v>0.41666666666666669</v>
      </c>
      <c r="C3" s="3">
        <v>0.75</v>
      </c>
      <c r="D3" s="3">
        <f t="shared" si="0"/>
        <v>0.33333333333333331</v>
      </c>
      <c r="E3" s="4" t="s">
        <v>16</v>
      </c>
      <c r="F3" s="13" t="s">
        <v>47</v>
      </c>
      <c r="H3" s="4"/>
      <c r="I3" s="4"/>
    </row>
    <row r="4" spans="1:11" ht="60" customHeight="1" x14ac:dyDescent="0.35">
      <c r="A4" s="10">
        <v>46085</v>
      </c>
      <c r="B4" s="3">
        <v>0.41666666666666702</v>
      </c>
      <c r="C4" s="3">
        <v>0.75</v>
      </c>
      <c r="D4" s="3">
        <f t="shared" si="0"/>
        <v>0.33333333333333298</v>
      </c>
      <c r="E4" s="4" t="s">
        <v>16</v>
      </c>
      <c r="F4" s="13" t="s">
        <v>49</v>
      </c>
      <c r="H4" s="5" t="s">
        <v>13</v>
      </c>
      <c r="I4" s="19" t="s">
        <v>14</v>
      </c>
    </row>
    <row r="5" spans="1:11" ht="60" customHeight="1" x14ac:dyDescent="0.35">
      <c r="A5" s="10">
        <v>46086</v>
      </c>
      <c r="B5" s="3">
        <v>0.41666666666666702</v>
      </c>
      <c r="C5" s="3">
        <v>0.75</v>
      </c>
      <c r="D5" s="3">
        <f t="shared" si="0"/>
        <v>0.33333333333333298</v>
      </c>
      <c r="E5" s="4" t="s">
        <v>16</v>
      </c>
      <c r="F5" s="13" t="s">
        <v>50</v>
      </c>
      <c r="H5" s="4">
        <f>COUNTIF(E:E, "=Vacation")+ COUNTIF(E:E, "=Holiday")</f>
        <v>2</v>
      </c>
      <c r="I5" s="21">
        <f ca="1">'February 26'!I5-SUMIF(E:E, "=Worked", D1:D23)</f>
        <v>53.666666666666686</v>
      </c>
    </row>
    <row r="6" spans="1:11" ht="60" customHeight="1" x14ac:dyDescent="0.35">
      <c r="A6" s="10">
        <v>46087</v>
      </c>
      <c r="B6" s="3">
        <v>0.41666666666666702</v>
      </c>
      <c r="C6" s="3">
        <v>0.70833333333333337</v>
      </c>
      <c r="D6" s="3">
        <f t="shared" si="0"/>
        <v>0.29166666666666635</v>
      </c>
      <c r="E6" s="4" t="s">
        <v>16</v>
      </c>
      <c r="F6" s="13" t="s">
        <v>51</v>
      </c>
    </row>
    <row r="7" spans="1:11" ht="60" customHeight="1" x14ac:dyDescent="0.35">
      <c r="A7" s="10">
        <v>46090</v>
      </c>
      <c r="B7" s="3">
        <v>0.41666666666666702</v>
      </c>
      <c r="C7" s="3">
        <v>0.75</v>
      </c>
      <c r="D7" s="3">
        <f t="shared" si="0"/>
        <v>0.33333333333333298</v>
      </c>
      <c r="E7" s="4" t="s">
        <v>16</v>
      </c>
      <c r="F7" s="13" t="s">
        <v>45</v>
      </c>
    </row>
    <row r="8" spans="1:11" ht="60" customHeight="1" x14ac:dyDescent="0.35">
      <c r="A8" s="10">
        <v>46091</v>
      </c>
      <c r="B8" s="3">
        <v>0.41666666666666702</v>
      </c>
      <c r="C8" s="3">
        <v>0.75</v>
      </c>
      <c r="D8" s="3">
        <f t="shared" si="0"/>
        <v>0.33333333333333298</v>
      </c>
      <c r="E8" s="4" t="s">
        <v>16</v>
      </c>
      <c r="F8" s="13" t="s">
        <v>45</v>
      </c>
    </row>
    <row r="9" spans="1:11" ht="60" customHeight="1" x14ac:dyDescent="0.35">
      <c r="A9" s="10">
        <v>46092</v>
      </c>
      <c r="B9" s="3">
        <v>0.41666666666666702</v>
      </c>
      <c r="C9" s="3">
        <v>0.75</v>
      </c>
      <c r="D9" s="3">
        <f t="shared" si="0"/>
        <v>0.33333333333333298</v>
      </c>
      <c r="E9" s="4" t="s">
        <v>16</v>
      </c>
      <c r="F9" s="13" t="s">
        <v>48</v>
      </c>
    </row>
    <row r="10" spans="1:11" ht="60" customHeight="1" x14ac:dyDescent="0.35">
      <c r="A10" s="10">
        <v>46093</v>
      </c>
      <c r="B10" s="3">
        <v>0.41666666666666702</v>
      </c>
      <c r="C10" s="3">
        <v>0.75</v>
      </c>
      <c r="D10" s="3">
        <f t="shared" si="0"/>
        <v>0.33333333333333298</v>
      </c>
      <c r="E10" s="4" t="s">
        <v>16</v>
      </c>
      <c r="F10" s="13" t="s">
        <v>44</v>
      </c>
    </row>
    <row r="11" spans="1:11" ht="60" customHeight="1" x14ac:dyDescent="0.35">
      <c r="A11" s="10">
        <v>46094</v>
      </c>
      <c r="B11" s="3">
        <v>0.41666666666666702</v>
      </c>
      <c r="C11" s="3">
        <v>0.70833333333333337</v>
      </c>
      <c r="D11" s="3">
        <f t="shared" si="0"/>
        <v>0.29166666666666635</v>
      </c>
      <c r="E11" s="4" t="s">
        <v>16</v>
      </c>
      <c r="F11" s="13" t="s">
        <v>43</v>
      </c>
      <c r="J11" s="4"/>
    </row>
    <row r="12" spans="1:11" s="2" customFormat="1" ht="60" customHeight="1" x14ac:dyDescent="0.35">
      <c r="A12" s="10">
        <v>46097</v>
      </c>
      <c r="B12" s="3">
        <v>0.41666666666666702</v>
      </c>
      <c r="C12" s="3">
        <v>0.75</v>
      </c>
      <c r="D12" s="3">
        <f t="shared" si="0"/>
        <v>0.33333333333333298</v>
      </c>
      <c r="E12" s="4" t="s">
        <v>16</v>
      </c>
      <c r="F12" s="13" t="s">
        <v>52</v>
      </c>
      <c r="G12"/>
      <c r="H12" s="4"/>
      <c r="I12" s="4"/>
      <c r="J12" s="4"/>
      <c r="K12"/>
    </row>
    <row r="13" spans="1:11" s="2" customFormat="1" ht="60" customHeight="1" x14ac:dyDescent="0.35">
      <c r="A13" s="10">
        <v>46098</v>
      </c>
      <c r="B13" s="3">
        <v>0.41666666666666702</v>
      </c>
      <c r="C13" s="3">
        <v>0.75</v>
      </c>
      <c r="D13" s="3">
        <f t="shared" si="0"/>
        <v>0.33333333333333298</v>
      </c>
      <c r="E13" s="4" t="s">
        <v>16</v>
      </c>
      <c r="F13" s="13" t="s">
        <v>53</v>
      </c>
      <c r="G13"/>
      <c r="H13" s="4"/>
      <c r="I13" s="4"/>
      <c r="J13" s="4"/>
      <c r="K13"/>
    </row>
    <row r="14" spans="1:11" s="2" customFormat="1" ht="60" customHeight="1" x14ac:dyDescent="0.35">
      <c r="A14" s="10">
        <v>46099</v>
      </c>
      <c r="B14" s="3">
        <v>0.41666666666666702</v>
      </c>
      <c r="C14" s="3">
        <v>0.75</v>
      </c>
      <c r="D14" s="3">
        <f t="shared" si="0"/>
        <v>0.33333333333333298</v>
      </c>
      <c r="E14" s="4" t="s">
        <v>16</v>
      </c>
      <c r="F14" s="13" t="s">
        <v>54</v>
      </c>
      <c r="G14"/>
      <c r="H14" s="4"/>
    </row>
    <row r="15" spans="1:11" s="2" customFormat="1" ht="60" customHeight="1" x14ac:dyDescent="0.35">
      <c r="A15" s="10">
        <v>46100</v>
      </c>
      <c r="B15" s="3">
        <v>0.41666666666666702</v>
      </c>
      <c r="C15" s="3">
        <v>0.75</v>
      </c>
      <c r="D15" s="3">
        <f t="shared" si="0"/>
        <v>0.33333333333333298</v>
      </c>
      <c r="E15" s="4" t="s">
        <v>16</v>
      </c>
      <c r="F15" s="13" t="s">
        <v>55</v>
      </c>
      <c r="G15"/>
      <c r="H15" s="4"/>
      <c r="I15" s="4"/>
    </row>
    <row r="16" spans="1:11" ht="60" customHeight="1" x14ac:dyDescent="0.35">
      <c r="A16" s="10">
        <v>46101</v>
      </c>
      <c r="B16" s="3">
        <v>0.41666666666666702</v>
      </c>
      <c r="C16" s="3">
        <v>0.70833333333333337</v>
      </c>
      <c r="D16" s="3">
        <f t="shared" si="0"/>
        <v>0.29166666666666635</v>
      </c>
      <c r="E16" s="4" t="s">
        <v>16</v>
      </c>
      <c r="F16" s="13" t="s">
        <v>56</v>
      </c>
    </row>
    <row r="17" spans="1:6" ht="60" customHeight="1" x14ac:dyDescent="0.35">
      <c r="A17" s="10">
        <v>46104</v>
      </c>
      <c r="B17" s="3">
        <v>0.41666666666666702</v>
      </c>
      <c r="C17" s="3">
        <v>0.75</v>
      </c>
      <c r="D17" s="3">
        <f t="shared" si="0"/>
        <v>0.33333333333333298</v>
      </c>
      <c r="E17" s="4" t="s">
        <v>16</v>
      </c>
      <c r="F17" s="13" t="s">
        <v>58</v>
      </c>
    </row>
    <row r="18" spans="1:6" ht="60" customHeight="1" x14ac:dyDescent="0.35">
      <c r="A18" s="10">
        <v>46105</v>
      </c>
      <c r="B18" s="3">
        <v>0.41666666666666702</v>
      </c>
      <c r="C18" s="3">
        <v>0.75</v>
      </c>
      <c r="D18" s="3">
        <f t="shared" si="0"/>
        <v>0.33333333333333298</v>
      </c>
      <c r="E18" s="4" t="s">
        <v>16</v>
      </c>
      <c r="F18" s="13" t="s">
        <v>57</v>
      </c>
    </row>
    <row r="19" spans="1:6" ht="60" customHeight="1" x14ac:dyDescent="0.35">
      <c r="A19" s="10">
        <v>46106</v>
      </c>
      <c r="B19" s="3">
        <v>0.41666666666666702</v>
      </c>
      <c r="C19" s="3">
        <v>0.75</v>
      </c>
      <c r="D19" s="3">
        <f t="shared" si="0"/>
        <v>0.33333333333333298</v>
      </c>
      <c r="E19" s="4" t="s">
        <v>16</v>
      </c>
      <c r="F19" s="13"/>
    </row>
    <row r="20" spans="1:6" ht="60" customHeight="1" x14ac:dyDescent="0.35">
      <c r="A20" s="10">
        <v>46107</v>
      </c>
      <c r="B20" s="3">
        <v>0.41666666666666702</v>
      </c>
      <c r="C20" s="3">
        <v>0.75</v>
      </c>
      <c r="D20" s="3">
        <f t="shared" si="0"/>
        <v>0.33333333333333298</v>
      </c>
      <c r="E20" s="4" t="s">
        <v>16</v>
      </c>
      <c r="F20" s="22"/>
    </row>
    <row r="21" spans="1:6" ht="60" customHeight="1" x14ac:dyDescent="0.35">
      <c r="A21" s="10">
        <v>46108</v>
      </c>
      <c r="B21" s="3">
        <v>0.41666666666666702</v>
      </c>
      <c r="C21" s="3">
        <v>0.70833333333333337</v>
      </c>
      <c r="D21" s="3">
        <f t="shared" si="0"/>
        <v>0.29166666666666635</v>
      </c>
      <c r="E21" s="4" t="s">
        <v>16</v>
      </c>
      <c r="F21" s="22"/>
    </row>
    <row r="22" spans="1:6" ht="60" customHeight="1" x14ac:dyDescent="0.35">
      <c r="A22" s="14">
        <v>46111</v>
      </c>
      <c r="B22" s="15">
        <v>0.41666666666666702</v>
      </c>
      <c r="C22" s="15">
        <v>0.75</v>
      </c>
      <c r="D22" s="15">
        <f t="shared" ref="D22:D23" si="1">C22-B22</f>
        <v>0.33333333333333298</v>
      </c>
      <c r="E22" s="16" t="s">
        <v>10</v>
      </c>
      <c r="F22" s="17" t="s">
        <v>17</v>
      </c>
    </row>
    <row r="23" spans="1:6" ht="60" customHeight="1" x14ac:dyDescent="0.35">
      <c r="A23" s="14">
        <v>46112</v>
      </c>
      <c r="B23" s="15">
        <v>0.41666666666666702</v>
      </c>
      <c r="C23" s="15">
        <v>0.75</v>
      </c>
      <c r="D23" s="15">
        <f t="shared" si="1"/>
        <v>0.33333333333333298</v>
      </c>
      <c r="E23" s="16" t="s">
        <v>10</v>
      </c>
      <c r="F23" s="17" t="s">
        <v>17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A553-2D6C-4FDA-9E1B-368A49B5A8AE}">
  <dimension ref="A1:K23"/>
  <sheetViews>
    <sheetView topLeftCell="E7" workbookViewId="0">
      <selection activeCell="J11" sqref="J11:K13"/>
    </sheetView>
  </sheetViews>
  <sheetFormatPr defaultRowHeight="14.5" x14ac:dyDescent="0.35"/>
  <cols>
    <col min="1" max="1" width="36.453125" style="10" customWidth="1"/>
    <col min="2" max="2" width="12" style="4" customWidth="1"/>
    <col min="3" max="3" width="9.7265625" style="4" customWidth="1"/>
    <col min="4" max="4" width="10.54296875" style="4" customWidth="1"/>
    <col min="5" max="5" width="11.7265625" style="4" customWidth="1"/>
    <col min="6" max="6" width="97.26953125" style="4" customWidth="1"/>
    <col min="8" max="8" width="13.54296875" style="4" customWidth="1"/>
    <col min="9" max="9" width="31.81640625" style="4" customWidth="1"/>
  </cols>
  <sheetData>
    <row r="1" spans="1:11" s="1" customFormat="1" x14ac:dyDescent="0.35">
      <c r="A1" s="1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5" t="s">
        <v>6</v>
      </c>
      <c r="I1" s="6" t="s">
        <v>7</v>
      </c>
    </row>
    <row r="2" spans="1:11" ht="60" customHeight="1" x14ac:dyDescent="0.35">
      <c r="A2" s="14">
        <v>46113</v>
      </c>
      <c r="B2" s="15">
        <v>0.41666666666666669</v>
      </c>
      <c r="C2" s="15">
        <v>0.75</v>
      </c>
      <c r="D2" s="15">
        <f t="shared" ref="D2:D23" si="0">C2-B2</f>
        <v>0.33333333333333331</v>
      </c>
      <c r="E2" s="16" t="s">
        <v>10</v>
      </c>
      <c r="F2" s="17" t="s">
        <v>17</v>
      </c>
      <c r="H2" s="4">
        <f>COUNTIF(E:E, "=Worked")</f>
        <v>0</v>
      </c>
      <c r="I2" s="8">
        <f>SUMIF(E:E, "=Worked", D:D)</f>
        <v>0</v>
      </c>
    </row>
    <row r="3" spans="1:11" s="11" customFormat="1" ht="60" customHeight="1" x14ac:dyDescent="0.35">
      <c r="A3" s="14">
        <v>46114</v>
      </c>
      <c r="B3" s="15">
        <v>0.41666666666666669</v>
      </c>
      <c r="C3" s="15">
        <v>0.75</v>
      </c>
      <c r="D3" s="15">
        <f t="shared" si="0"/>
        <v>0.33333333333333331</v>
      </c>
      <c r="E3" s="16" t="s">
        <v>10</v>
      </c>
      <c r="F3" s="17" t="s">
        <v>18</v>
      </c>
      <c r="H3" s="4"/>
      <c r="I3" s="4"/>
    </row>
    <row r="4" spans="1:11" ht="60" customHeight="1" x14ac:dyDescent="0.35">
      <c r="A4" s="14">
        <v>46115</v>
      </c>
      <c r="B4" s="15">
        <v>0.41666666666666702</v>
      </c>
      <c r="C4" s="15">
        <v>0.70833333333333337</v>
      </c>
      <c r="D4" s="15">
        <f t="shared" si="0"/>
        <v>0.29166666666666635</v>
      </c>
      <c r="E4" s="16" t="s">
        <v>10</v>
      </c>
      <c r="F4" s="17" t="s">
        <v>19</v>
      </c>
      <c r="H4" s="5" t="s">
        <v>13</v>
      </c>
      <c r="I4" s="19" t="s">
        <v>14</v>
      </c>
    </row>
    <row r="5" spans="1:11" ht="60" customHeight="1" x14ac:dyDescent="0.35">
      <c r="A5" s="10">
        <v>46118</v>
      </c>
      <c r="B5" s="3">
        <v>0.41666666666666702</v>
      </c>
      <c r="C5" s="3">
        <v>0.75</v>
      </c>
      <c r="D5" s="3">
        <f t="shared" si="0"/>
        <v>0.33333333333333298</v>
      </c>
      <c r="F5" s="13"/>
      <c r="H5" s="4">
        <f>COUNTIF(E:E, "=Vacation")+ COUNTIF(E:E, "=Holiday")</f>
        <v>3</v>
      </c>
      <c r="I5" s="21">
        <f ca="1">'March 26'!I5-SUMIF(E:E, "=Worked", D1:D23)</f>
        <v>53.666666666666686</v>
      </c>
    </row>
    <row r="6" spans="1:11" ht="60" customHeight="1" x14ac:dyDescent="0.35">
      <c r="A6" s="10">
        <v>46119</v>
      </c>
      <c r="B6" s="3">
        <v>0.41666666666666702</v>
      </c>
      <c r="C6" s="3">
        <v>0.75</v>
      </c>
      <c r="D6" s="3">
        <f t="shared" si="0"/>
        <v>0.33333333333333298</v>
      </c>
      <c r="F6" s="13"/>
    </row>
    <row r="7" spans="1:11" ht="60" customHeight="1" x14ac:dyDescent="0.35">
      <c r="A7" s="10">
        <v>46120</v>
      </c>
      <c r="B7" s="3">
        <v>0.41666666666666702</v>
      </c>
      <c r="C7" s="3">
        <v>0.75</v>
      </c>
      <c r="D7" s="3">
        <f t="shared" si="0"/>
        <v>0.33333333333333298</v>
      </c>
      <c r="F7" s="22"/>
    </row>
    <row r="8" spans="1:11" ht="60" customHeight="1" x14ac:dyDescent="0.35">
      <c r="A8" s="10">
        <v>46121</v>
      </c>
      <c r="B8" s="3">
        <v>0.41666666666666702</v>
      </c>
      <c r="C8" s="3">
        <v>0.75</v>
      </c>
      <c r="D8" s="3">
        <f t="shared" si="0"/>
        <v>0.33333333333333298</v>
      </c>
      <c r="F8" s="13"/>
    </row>
    <row r="9" spans="1:11" ht="60" customHeight="1" x14ac:dyDescent="0.35">
      <c r="A9" s="10">
        <v>46122</v>
      </c>
      <c r="B9" s="3">
        <v>0.41666666666666702</v>
      </c>
      <c r="C9" s="3">
        <v>0.70833333333333337</v>
      </c>
      <c r="D9" s="3">
        <f t="shared" si="0"/>
        <v>0.29166666666666635</v>
      </c>
      <c r="F9" s="13"/>
    </row>
    <row r="10" spans="1:11" ht="60" customHeight="1" x14ac:dyDescent="0.35">
      <c r="A10" s="10">
        <v>46125</v>
      </c>
      <c r="B10" s="3">
        <v>0.41666666666666702</v>
      </c>
      <c r="C10" s="3">
        <v>0.75</v>
      </c>
      <c r="D10" s="3">
        <f t="shared" si="0"/>
        <v>0.33333333333333298</v>
      </c>
      <c r="F10" s="13"/>
    </row>
    <row r="11" spans="1:11" ht="60" customHeight="1" x14ac:dyDescent="0.35">
      <c r="A11" s="10">
        <v>46126</v>
      </c>
      <c r="B11" s="3">
        <v>0.41666666666666702</v>
      </c>
      <c r="C11" s="3">
        <v>0.75</v>
      </c>
      <c r="D11" s="3">
        <f t="shared" si="0"/>
        <v>0.33333333333333298</v>
      </c>
      <c r="F11" s="13"/>
      <c r="J11" s="4"/>
    </row>
    <row r="12" spans="1:11" s="2" customFormat="1" ht="60" customHeight="1" x14ac:dyDescent="0.35">
      <c r="A12" s="10">
        <v>46127</v>
      </c>
      <c r="B12" s="3">
        <v>0.41666666666666702</v>
      </c>
      <c r="C12" s="3">
        <v>0.75</v>
      </c>
      <c r="D12" s="3">
        <f t="shared" si="0"/>
        <v>0.33333333333333298</v>
      </c>
      <c r="E12" s="4"/>
      <c r="F12" s="13"/>
      <c r="G12"/>
      <c r="H12" s="4"/>
      <c r="I12" s="4"/>
      <c r="J12" s="4"/>
      <c r="K12"/>
    </row>
    <row r="13" spans="1:11" s="2" customFormat="1" ht="60" customHeight="1" x14ac:dyDescent="0.35">
      <c r="A13" s="10">
        <v>46128</v>
      </c>
      <c r="B13" s="3">
        <v>0.41666666666666702</v>
      </c>
      <c r="C13" s="3">
        <v>0.75</v>
      </c>
      <c r="D13" s="3">
        <f t="shared" si="0"/>
        <v>0.33333333333333298</v>
      </c>
      <c r="E13" s="4"/>
      <c r="F13" s="13"/>
      <c r="G13"/>
      <c r="H13" s="4"/>
      <c r="I13" s="4"/>
      <c r="J13" s="4"/>
      <c r="K13"/>
    </row>
    <row r="14" spans="1:11" s="2" customFormat="1" ht="60" customHeight="1" x14ac:dyDescent="0.35">
      <c r="A14" s="10">
        <v>46129</v>
      </c>
      <c r="B14" s="3">
        <v>0.41666666666666702</v>
      </c>
      <c r="C14" s="3">
        <v>0.70833333333333337</v>
      </c>
      <c r="D14" s="3">
        <f t="shared" si="0"/>
        <v>0.29166666666666635</v>
      </c>
      <c r="E14" s="4"/>
      <c r="F14" s="13"/>
      <c r="G14"/>
      <c r="H14" s="4"/>
    </row>
    <row r="15" spans="1:11" s="2" customFormat="1" ht="60" customHeight="1" x14ac:dyDescent="0.35">
      <c r="A15" s="10">
        <v>46132</v>
      </c>
      <c r="B15" s="3">
        <v>0.41666666666666702</v>
      </c>
      <c r="C15" s="3">
        <v>0.75</v>
      </c>
      <c r="D15" s="3">
        <f t="shared" si="0"/>
        <v>0.33333333333333298</v>
      </c>
      <c r="E15" s="4"/>
      <c r="F15" s="13"/>
      <c r="G15"/>
      <c r="H15" s="4"/>
      <c r="I15" s="4"/>
    </row>
    <row r="16" spans="1:11" ht="60" customHeight="1" x14ac:dyDescent="0.35">
      <c r="A16" s="10">
        <v>46133</v>
      </c>
      <c r="B16" s="3">
        <v>0.41666666666666702</v>
      </c>
      <c r="C16" s="3">
        <v>0.75</v>
      </c>
      <c r="D16" s="3">
        <f t="shared" si="0"/>
        <v>0.33333333333333298</v>
      </c>
      <c r="F16" s="13"/>
    </row>
    <row r="17" spans="1:6" ht="60" customHeight="1" x14ac:dyDescent="0.35">
      <c r="A17" s="10">
        <v>46134</v>
      </c>
      <c r="B17" s="3">
        <v>0.41666666666666702</v>
      </c>
      <c r="C17" s="3">
        <v>0.75</v>
      </c>
      <c r="D17" s="3">
        <f t="shared" si="0"/>
        <v>0.33333333333333298</v>
      </c>
      <c r="F17" s="13"/>
    </row>
    <row r="18" spans="1:6" ht="60" customHeight="1" x14ac:dyDescent="0.35">
      <c r="A18" s="10">
        <v>46135</v>
      </c>
      <c r="B18" s="3">
        <v>0.41666666666666702</v>
      </c>
      <c r="C18" s="3">
        <v>0.75</v>
      </c>
      <c r="D18" s="3">
        <f t="shared" si="0"/>
        <v>0.33333333333333298</v>
      </c>
      <c r="F18" s="13"/>
    </row>
    <row r="19" spans="1:6" ht="60" customHeight="1" x14ac:dyDescent="0.35">
      <c r="A19" s="10">
        <v>46136</v>
      </c>
      <c r="B19" s="3">
        <v>0.41666666666666702</v>
      </c>
      <c r="C19" s="3">
        <v>0.70833333333333337</v>
      </c>
      <c r="D19" s="3">
        <f t="shared" si="0"/>
        <v>0.29166666666666635</v>
      </c>
      <c r="F19" s="13"/>
    </row>
    <row r="20" spans="1:6" ht="60" customHeight="1" x14ac:dyDescent="0.35">
      <c r="A20" s="10">
        <v>46139</v>
      </c>
      <c r="B20" s="3">
        <v>0.41666666666666702</v>
      </c>
      <c r="C20" s="3">
        <v>0.75</v>
      </c>
      <c r="D20" s="3">
        <f t="shared" si="0"/>
        <v>0.33333333333333298</v>
      </c>
      <c r="F20" s="22"/>
    </row>
    <row r="21" spans="1:6" ht="60" customHeight="1" x14ac:dyDescent="0.35">
      <c r="A21" s="10">
        <v>46140</v>
      </c>
      <c r="B21" s="3">
        <v>0.41666666666666702</v>
      </c>
      <c r="C21" s="3">
        <v>0.75</v>
      </c>
      <c r="D21" s="3">
        <f t="shared" si="0"/>
        <v>0.33333333333333298</v>
      </c>
      <c r="F21" s="22"/>
    </row>
    <row r="22" spans="1:6" ht="60" customHeight="1" x14ac:dyDescent="0.35">
      <c r="A22" s="10">
        <v>46141</v>
      </c>
      <c r="B22" s="3">
        <v>0.41666666666666702</v>
      </c>
      <c r="C22" s="3">
        <v>0.75</v>
      </c>
      <c r="D22" s="3">
        <f t="shared" si="0"/>
        <v>0.33333333333333298</v>
      </c>
      <c r="F22" s="22"/>
    </row>
    <row r="23" spans="1:6" ht="60" customHeight="1" x14ac:dyDescent="0.35">
      <c r="A23" s="10">
        <v>46142</v>
      </c>
      <c r="B23" s="3">
        <v>0.41666666666666702</v>
      </c>
      <c r="C23" s="3">
        <v>0.75</v>
      </c>
      <c r="D23" s="3">
        <f t="shared" si="0"/>
        <v>0.33333333333333298</v>
      </c>
      <c r="F23" s="2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CEDE-8160-4419-B97D-1F12D495F2C9}">
  <dimension ref="A1:K22"/>
  <sheetViews>
    <sheetView topLeftCell="B6" workbookViewId="0">
      <selection activeCell="J11" sqref="J11:K13"/>
    </sheetView>
  </sheetViews>
  <sheetFormatPr defaultRowHeight="14.5" x14ac:dyDescent="0.35"/>
  <cols>
    <col min="1" max="1" width="36.453125" style="10" customWidth="1"/>
    <col min="2" max="2" width="12" style="4" customWidth="1"/>
    <col min="3" max="3" width="9.7265625" style="4" customWidth="1"/>
    <col min="4" max="4" width="10.54296875" style="4" customWidth="1"/>
    <col min="5" max="5" width="11.7265625" style="4" customWidth="1"/>
    <col min="6" max="6" width="97.26953125" style="4" customWidth="1"/>
    <col min="8" max="8" width="13.54296875" style="4" customWidth="1"/>
    <col min="9" max="9" width="31.81640625" style="4" customWidth="1"/>
  </cols>
  <sheetData>
    <row r="1" spans="1:11" s="1" customFormat="1" x14ac:dyDescent="0.35">
      <c r="A1" s="1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5" t="s">
        <v>6</v>
      </c>
      <c r="I1" s="6" t="s">
        <v>7</v>
      </c>
    </row>
    <row r="2" spans="1:11" ht="60" customHeight="1" x14ac:dyDescent="0.35">
      <c r="A2" s="14">
        <v>46143</v>
      </c>
      <c r="B2" s="15">
        <v>0.41666666666666669</v>
      </c>
      <c r="C2" s="15">
        <v>0.70833333333333337</v>
      </c>
      <c r="D2" s="15">
        <f t="shared" ref="D2:D22" si="0">C2-B2</f>
        <v>0.29166666666666669</v>
      </c>
      <c r="E2" s="16" t="s">
        <v>10</v>
      </c>
      <c r="F2" s="17" t="s">
        <v>20</v>
      </c>
      <c r="H2" s="4">
        <f>COUNTIF(E:E, "=Worked")</f>
        <v>0</v>
      </c>
      <c r="I2" s="8">
        <f>SUMIF(E:E, "=Worked", D:D)</f>
        <v>0</v>
      </c>
    </row>
    <row r="3" spans="1:11" s="11" customFormat="1" ht="60" customHeight="1" x14ac:dyDescent="0.35">
      <c r="A3" s="10">
        <v>46146</v>
      </c>
      <c r="B3" s="3">
        <v>0.41666666666666669</v>
      </c>
      <c r="C3" s="3">
        <v>0.75</v>
      </c>
      <c r="D3" s="3">
        <f t="shared" si="0"/>
        <v>0.33333333333333331</v>
      </c>
      <c r="E3" s="4"/>
      <c r="F3" s="13"/>
      <c r="H3" s="4"/>
      <c r="I3" s="4"/>
    </row>
    <row r="4" spans="1:11" ht="60" customHeight="1" x14ac:dyDescent="0.35">
      <c r="A4" s="10">
        <v>46147</v>
      </c>
      <c r="B4" s="3">
        <v>0.41666666666666702</v>
      </c>
      <c r="C4" s="3">
        <v>0.75</v>
      </c>
      <c r="D4" s="3">
        <f t="shared" si="0"/>
        <v>0.33333333333333298</v>
      </c>
      <c r="F4" s="13"/>
      <c r="H4" s="5" t="s">
        <v>13</v>
      </c>
      <c r="I4" s="19" t="s">
        <v>14</v>
      </c>
    </row>
    <row r="5" spans="1:11" ht="60" customHeight="1" x14ac:dyDescent="0.35">
      <c r="A5" s="10">
        <v>46148</v>
      </c>
      <c r="B5" s="3">
        <v>0.41666666666666702</v>
      </c>
      <c r="C5" s="3">
        <v>0.75</v>
      </c>
      <c r="D5" s="3">
        <f t="shared" si="0"/>
        <v>0.33333333333333298</v>
      </c>
      <c r="F5" s="13"/>
      <c r="H5" s="4">
        <f>COUNTIF(E:E, "=Vacation")+ COUNTIF(E:E, "=Holiday")</f>
        <v>1</v>
      </c>
      <c r="I5" s="21">
        <f ca="1">'April 26'!I5-SUMIF(E:E, "=Worked", D1:D22)</f>
        <v>53.666666666666686</v>
      </c>
    </row>
    <row r="6" spans="1:11" ht="60" customHeight="1" x14ac:dyDescent="0.35">
      <c r="A6" s="10">
        <v>46149</v>
      </c>
      <c r="B6" s="3">
        <v>0.41666666666666702</v>
      </c>
      <c r="C6" s="3">
        <v>0.75</v>
      </c>
      <c r="D6" s="3">
        <f t="shared" si="0"/>
        <v>0.33333333333333298</v>
      </c>
      <c r="F6" s="13"/>
    </row>
    <row r="7" spans="1:11" ht="60" customHeight="1" x14ac:dyDescent="0.35">
      <c r="A7" s="10">
        <v>46150</v>
      </c>
      <c r="B7" s="3">
        <v>0.41666666666666702</v>
      </c>
      <c r="C7" s="3">
        <v>0.70833333333333337</v>
      </c>
      <c r="D7" s="3">
        <f t="shared" si="0"/>
        <v>0.29166666666666635</v>
      </c>
      <c r="F7" s="22"/>
    </row>
    <row r="8" spans="1:11" ht="60" customHeight="1" x14ac:dyDescent="0.35">
      <c r="A8" s="10">
        <v>46153</v>
      </c>
      <c r="B8" s="3">
        <v>0.41666666666666702</v>
      </c>
      <c r="C8" s="3">
        <v>0.75</v>
      </c>
      <c r="D8" s="3">
        <f t="shared" si="0"/>
        <v>0.33333333333333298</v>
      </c>
      <c r="F8" s="13"/>
    </row>
    <row r="9" spans="1:11" ht="60" customHeight="1" x14ac:dyDescent="0.35">
      <c r="A9" s="10">
        <v>46154</v>
      </c>
      <c r="B9" s="3">
        <v>0.41666666666666702</v>
      </c>
      <c r="C9" s="3">
        <v>0.75</v>
      </c>
      <c r="D9" s="3">
        <f t="shared" si="0"/>
        <v>0.33333333333333298</v>
      </c>
      <c r="F9" s="13"/>
    </row>
    <row r="10" spans="1:11" ht="60" customHeight="1" x14ac:dyDescent="0.35">
      <c r="A10" s="10">
        <v>46155</v>
      </c>
      <c r="B10" s="3">
        <v>0.41666666666666702</v>
      </c>
      <c r="C10" s="3">
        <v>0.75</v>
      </c>
      <c r="D10" s="3">
        <f t="shared" si="0"/>
        <v>0.33333333333333298</v>
      </c>
      <c r="F10" s="13"/>
    </row>
    <row r="11" spans="1:11" ht="60" customHeight="1" x14ac:dyDescent="0.35">
      <c r="A11" s="10">
        <v>46156</v>
      </c>
      <c r="B11" s="3">
        <v>0.41666666666666702</v>
      </c>
      <c r="C11" s="3">
        <v>0.75</v>
      </c>
      <c r="D11" s="3">
        <f t="shared" si="0"/>
        <v>0.33333333333333298</v>
      </c>
      <c r="F11" s="13"/>
      <c r="J11" s="4"/>
    </row>
    <row r="12" spans="1:11" s="2" customFormat="1" ht="60" customHeight="1" x14ac:dyDescent="0.35">
      <c r="A12" s="10">
        <v>46157</v>
      </c>
      <c r="B12" s="3">
        <v>0.41666666666666702</v>
      </c>
      <c r="C12" s="3">
        <v>0.70833333333333337</v>
      </c>
      <c r="D12" s="3">
        <f t="shared" si="0"/>
        <v>0.29166666666666635</v>
      </c>
      <c r="E12" s="4"/>
      <c r="F12" s="13"/>
      <c r="G12"/>
      <c r="H12" s="4"/>
      <c r="I12" s="4"/>
      <c r="J12" s="4"/>
      <c r="K12"/>
    </row>
    <row r="13" spans="1:11" s="2" customFormat="1" ht="60" customHeight="1" x14ac:dyDescent="0.35">
      <c r="A13" s="10">
        <v>46160</v>
      </c>
      <c r="B13" s="3">
        <v>0.41666666666666702</v>
      </c>
      <c r="C13" s="3">
        <v>0.75</v>
      </c>
      <c r="D13" s="3">
        <f t="shared" si="0"/>
        <v>0.33333333333333298</v>
      </c>
      <c r="E13" s="4"/>
      <c r="F13" s="13"/>
      <c r="G13"/>
      <c r="H13" s="4"/>
      <c r="I13" s="4"/>
      <c r="J13" s="4"/>
      <c r="K13"/>
    </row>
    <row r="14" spans="1:11" s="2" customFormat="1" ht="60" customHeight="1" x14ac:dyDescent="0.35">
      <c r="A14" s="10">
        <v>46161</v>
      </c>
      <c r="B14" s="3">
        <v>0.41666666666666702</v>
      </c>
      <c r="C14" s="3">
        <v>0.75</v>
      </c>
      <c r="D14" s="3">
        <f t="shared" si="0"/>
        <v>0.33333333333333298</v>
      </c>
      <c r="E14" s="4"/>
      <c r="F14" s="13"/>
      <c r="G14"/>
      <c r="H14" s="4"/>
    </row>
    <row r="15" spans="1:11" s="2" customFormat="1" ht="60" customHeight="1" x14ac:dyDescent="0.35">
      <c r="A15" s="10">
        <v>46162</v>
      </c>
      <c r="B15" s="3">
        <v>0.41666666666666702</v>
      </c>
      <c r="C15" s="3">
        <v>0.75</v>
      </c>
      <c r="D15" s="3">
        <f t="shared" si="0"/>
        <v>0.33333333333333298</v>
      </c>
      <c r="E15" s="4"/>
      <c r="F15" s="13"/>
      <c r="G15"/>
      <c r="H15" s="4"/>
      <c r="I15" s="4"/>
    </row>
    <row r="16" spans="1:11" ht="60" customHeight="1" x14ac:dyDescent="0.35">
      <c r="A16" s="10">
        <v>46163</v>
      </c>
      <c r="B16" s="3">
        <v>0.41666666666666702</v>
      </c>
      <c r="C16" s="3">
        <v>0.75</v>
      </c>
      <c r="D16" s="3">
        <f t="shared" si="0"/>
        <v>0.33333333333333298</v>
      </c>
      <c r="F16" s="13"/>
    </row>
    <row r="17" spans="1:6" ht="60" customHeight="1" x14ac:dyDescent="0.35">
      <c r="A17" s="10">
        <v>46164</v>
      </c>
      <c r="B17" s="3">
        <v>0.41666666666666702</v>
      </c>
      <c r="C17" s="3">
        <v>0.70833333333333337</v>
      </c>
      <c r="D17" s="3">
        <f t="shared" si="0"/>
        <v>0.29166666666666635</v>
      </c>
      <c r="F17" s="13"/>
    </row>
    <row r="18" spans="1:6" ht="60" customHeight="1" x14ac:dyDescent="0.35">
      <c r="A18" s="10">
        <v>46167</v>
      </c>
      <c r="B18" s="3">
        <v>0.41666666666666702</v>
      </c>
      <c r="C18" s="3">
        <v>0.75</v>
      </c>
      <c r="D18" s="3">
        <f t="shared" si="0"/>
        <v>0.33333333333333298</v>
      </c>
      <c r="F18" s="13"/>
    </row>
    <row r="19" spans="1:6" ht="60" customHeight="1" x14ac:dyDescent="0.35">
      <c r="A19" s="10">
        <v>46168</v>
      </c>
      <c r="B19" s="3">
        <v>0.41666666666666702</v>
      </c>
      <c r="C19" s="3">
        <v>0.75</v>
      </c>
      <c r="D19" s="3">
        <f t="shared" si="0"/>
        <v>0.33333333333333298</v>
      </c>
      <c r="F19" s="13"/>
    </row>
    <row r="20" spans="1:6" ht="60" customHeight="1" x14ac:dyDescent="0.35">
      <c r="A20" s="10">
        <v>46169</v>
      </c>
      <c r="B20" s="3">
        <v>0.41666666666666702</v>
      </c>
      <c r="C20" s="3">
        <v>0.75</v>
      </c>
      <c r="D20" s="3">
        <f t="shared" si="0"/>
        <v>0.33333333333333298</v>
      </c>
      <c r="F20" s="22"/>
    </row>
    <row r="21" spans="1:6" ht="60" customHeight="1" x14ac:dyDescent="0.35">
      <c r="A21" s="10">
        <v>46170</v>
      </c>
      <c r="B21" s="3">
        <v>0.41666666666666702</v>
      </c>
      <c r="C21" s="3">
        <v>0.75</v>
      </c>
      <c r="D21" s="3">
        <f t="shared" si="0"/>
        <v>0.33333333333333298</v>
      </c>
      <c r="F21" s="22"/>
    </row>
    <row r="22" spans="1:6" ht="60" customHeight="1" x14ac:dyDescent="0.35">
      <c r="A22" s="10">
        <v>46171</v>
      </c>
      <c r="B22" s="3">
        <v>0.41666666666666702</v>
      </c>
      <c r="C22" s="3">
        <v>0.70833333333333337</v>
      </c>
      <c r="D22" s="3">
        <f t="shared" si="0"/>
        <v>0.29166666666666635</v>
      </c>
      <c r="F22" s="2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CD98-CB9A-43B7-9B48-AAB522C930ED}">
  <dimension ref="A1:M23"/>
  <sheetViews>
    <sheetView topLeftCell="E10" workbookViewId="0">
      <selection activeCell="L11" sqref="L11:M13"/>
    </sheetView>
  </sheetViews>
  <sheetFormatPr defaultRowHeight="14.5" x14ac:dyDescent="0.35"/>
  <cols>
    <col min="1" max="1" width="36.453125" style="10" customWidth="1"/>
    <col min="2" max="2" width="12" style="4" customWidth="1"/>
    <col min="3" max="3" width="9.7265625" style="4" customWidth="1"/>
    <col min="4" max="4" width="10.54296875" style="4" customWidth="1"/>
    <col min="5" max="5" width="11.7265625" style="4" customWidth="1"/>
    <col min="6" max="6" width="97.26953125" style="4" customWidth="1"/>
    <col min="8" max="8" width="13.54296875" style="4" customWidth="1"/>
    <col min="9" max="9" width="31.81640625" style="4" customWidth="1"/>
    <col min="10" max="10" width="20.7265625" style="8" customWidth="1"/>
    <col min="11" max="11" width="20.7265625" style="9" customWidth="1"/>
  </cols>
  <sheetData>
    <row r="1" spans="1:13" s="1" customFormat="1" x14ac:dyDescent="0.35">
      <c r="A1" s="1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5" t="s">
        <v>6</v>
      </c>
      <c r="I1" s="6" t="s">
        <v>7</v>
      </c>
      <c r="J1" s="7" t="s">
        <v>8</v>
      </c>
      <c r="K1" s="5" t="s">
        <v>9</v>
      </c>
    </row>
    <row r="2" spans="1:13" ht="60" customHeight="1" x14ac:dyDescent="0.35">
      <c r="A2" s="10">
        <v>46174</v>
      </c>
      <c r="B2" s="3">
        <v>0.41666666666666669</v>
      </c>
      <c r="C2" s="3">
        <v>0.75</v>
      </c>
      <c r="D2" s="3">
        <f t="shared" ref="D2:D22" si="0">C2-B2</f>
        <v>0.33333333333333331</v>
      </c>
      <c r="F2" s="13"/>
      <c r="H2" s="4">
        <f>COUNTIF(E:E, "=Worked")</f>
        <v>0</v>
      </c>
      <c r="I2" s="8">
        <f>SUMIF(E:E, "=Worked", D:D)</f>
        <v>0</v>
      </c>
      <c r="J2" s="9">
        <f>(I2*24)*85</f>
        <v>0</v>
      </c>
      <c r="K2" s="9">
        <f>J2+(J2*0.21)-(J2*0.15)</f>
        <v>0</v>
      </c>
    </row>
    <row r="3" spans="1:13" s="11" customFormat="1" ht="60" customHeight="1" x14ac:dyDescent="0.35">
      <c r="A3" s="10">
        <v>46175</v>
      </c>
      <c r="B3" s="3">
        <v>0.41666666666666669</v>
      </c>
      <c r="C3" s="3">
        <v>0.75</v>
      </c>
      <c r="D3" s="3">
        <f t="shared" si="0"/>
        <v>0.33333333333333331</v>
      </c>
      <c r="E3" s="4"/>
      <c r="F3" s="13"/>
      <c r="H3" s="4"/>
      <c r="I3" s="4"/>
      <c r="J3" s="8"/>
      <c r="K3" s="9"/>
    </row>
    <row r="4" spans="1:13" ht="60" customHeight="1" x14ac:dyDescent="0.35">
      <c r="A4" s="10">
        <v>46176</v>
      </c>
      <c r="B4" s="3">
        <v>0.41666666666666702</v>
      </c>
      <c r="C4" s="3">
        <v>0.75</v>
      </c>
      <c r="D4" s="3">
        <f t="shared" si="0"/>
        <v>0.33333333333333298</v>
      </c>
      <c r="F4" s="13"/>
      <c r="H4" s="5" t="s">
        <v>13</v>
      </c>
      <c r="I4" s="19" t="s">
        <v>14</v>
      </c>
      <c r="J4" s="19"/>
    </row>
    <row r="5" spans="1:13" ht="60" customHeight="1" x14ac:dyDescent="0.35">
      <c r="A5" s="10">
        <v>46177</v>
      </c>
      <c r="B5" s="3">
        <v>0.41666666666666702</v>
      </c>
      <c r="C5" s="3">
        <v>0.75</v>
      </c>
      <c r="D5" s="3">
        <f t="shared" si="0"/>
        <v>0.33333333333333298</v>
      </c>
      <c r="F5" s="13"/>
      <c r="H5" s="4">
        <f>COUNTIF(E:E, "=Vacation")+ COUNTIF(E:E, "=Holiday")</f>
        <v>0</v>
      </c>
      <c r="I5" s="21">
        <f ca="1">'May 26'!I5-SUMIF(E:E, "=Worked", D1:D23)</f>
        <v>53.666666666666686</v>
      </c>
      <c r="J5" s="20"/>
    </row>
    <row r="6" spans="1:13" ht="60" customHeight="1" x14ac:dyDescent="0.35">
      <c r="A6" s="10">
        <v>46178</v>
      </c>
      <c r="B6" s="3">
        <v>0.41666666666666702</v>
      </c>
      <c r="C6" s="3">
        <v>0.70833333333333337</v>
      </c>
      <c r="D6" s="3">
        <f t="shared" si="0"/>
        <v>0.29166666666666635</v>
      </c>
      <c r="F6" s="13"/>
    </row>
    <row r="7" spans="1:13" ht="60" customHeight="1" x14ac:dyDescent="0.35">
      <c r="A7" s="10">
        <v>46181</v>
      </c>
      <c r="B7" s="3">
        <v>0.41666666666666702</v>
      </c>
      <c r="C7" s="3">
        <v>0.75</v>
      </c>
      <c r="D7" s="3">
        <f t="shared" si="0"/>
        <v>0.33333333333333298</v>
      </c>
      <c r="F7" s="22"/>
    </row>
    <row r="8" spans="1:13" ht="60" customHeight="1" x14ac:dyDescent="0.35">
      <c r="A8" s="10">
        <v>46182</v>
      </c>
      <c r="B8" s="3">
        <v>0.41666666666666702</v>
      </c>
      <c r="C8" s="3">
        <v>0.75</v>
      </c>
      <c r="D8" s="3">
        <f t="shared" si="0"/>
        <v>0.33333333333333298</v>
      </c>
      <c r="F8" s="13"/>
      <c r="J8" s="20"/>
    </row>
    <row r="9" spans="1:13" ht="60" customHeight="1" x14ac:dyDescent="0.35">
      <c r="A9" s="10">
        <v>46183</v>
      </c>
      <c r="B9" s="3">
        <v>0.41666666666666702</v>
      </c>
      <c r="C9" s="3">
        <v>0.75</v>
      </c>
      <c r="D9" s="3">
        <f t="shared" si="0"/>
        <v>0.33333333333333298</v>
      </c>
      <c r="F9" s="13"/>
      <c r="J9" s="20"/>
    </row>
    <row r="10" spans="1:13" ht="60" customHeight="1" x14ac:dyDescent="0.35">
      <c r="A10" s="10">
        <v>46184</v>
      </c>
      <c r="B10" s="3">
        <v>0.41666666666666702</v>
      </c>
      <c r="C10" s="3">
        <v>0.75</v>
      </c>
      <c r="D10" s="3">
        <f t="shared" si="0"/>
        <v>0.33333333333333298</v>
      </c>
      <c r="F10" s="13"/>
      <c r="J10" s="20"/>
    </row>
    <row r="11" spans="1:13" ht="60" customHeight="1" x14ac:dyDescent="0.35">
      <c r="A11" s="10">
        <v>46185</v>
      </c>
      <c r="B11" s="3">
        <v>0.41666666666666702</v>
      </c>
      <c r="C11" s="3">
        <v>0.70833333333333337</v>
      </c>
      <c r="D11" s="3">
        <f t="shared" si="0"/>
        <v>0.29166666666666635</v>
      </c>
      <c r="F11" s="13"/>
      <c r="J11" s="20"/>
      <c r="L11" s="4"/>
    </row>
    <row r="12" spans="1:13" s="2" customFormat="1" ht="60" customHeight="1" x14ac:dyDescent="0.35">
      <c r="A12" s="10">
        <v>46188</v>
      </c>
      <c r="B12" s="3">
        <v>0.41666666666666702</v>
      </c>
      <c r="C12" s="3">
        <v>0.75</v>
      </c>
      <c r="D12" s="3">
        <f t="shared" si="0"/>
        <v>0.33333333333333298</v>
      </c>
      <c r="E12" s="4"/>
      <c r="F12" s="13"/>
      <c r="G12"/>
      <c r="H12" s="4"/>
      <c r="I12" s="4"/>
      <c r="J12" s="20"/>
      <c r="K12" s="9"/>
      <c r="L12" s="4"/>
      <c r="M12"/>
    </row>
    <row r="13" spans="1:13" s="2" customFormat="1" ht="60" customHeight="1" x14ac:dyDescent="0.35">
      <c r="A13" s="10">
        <v>46189</v>
      </c>
      <c r="B13" s="3">
        <v>0.41666666666666702</v>
      </c>
      <c r="C13" s="3">
        <v>0.75</v>
      </c>
      <c r="D13" s="3">
        <f t="shared" si="0"/>
        <v>0.33333333333333298</v>
      </c>
      <c r="E13" s="4"/>
      <c r="F13" s="13"/>
      <c r="G13"/>
      <c r="H13" s="4"/>
      <c r="I13" s="4"/>
      <c r="J13" s="20"/>
      <c r="K13" s="9"/>
      <c r="L13" s="4"/>
      <c r="M13"/>
    </row>
    <row r="14" spans="1:13" s="2" customFormat="1" ht="60" customHeight="1" x14ac:dyDescent="0.35">
      <c r="A14" s="10">
        <v>46190</v>
      </c>
      <c r="B14" s="3">
        <v>0.41666666666666702</v>
      </c>
      <c r="C14" s="3">
        <v>0.75</v>
      </c>
      <c r="D14" s="3">
        <f t="shared" si="0"/>
        <v>0.33333333333333298</v>
      </c>
      <c r="E14" s="4"/>
      <c r="F14" s="13"/>
      <c r="G14"/>
      <c r="H14" s="4"/>
      <c r="K14" s="9"/>
    </row>
    <row r="15" spans="1:13" s="2" customFormat="1" ht="60" customHeight="1" x14ac:dyDescent="0.35">
      <c r="A15" s="10">
        <v>46191</v>
      </c>
      <c r="B15" s="3">
        <v>0.41666666666666702</v>
      </c>
      <c r="C15" s="3">
        <v>0.75</v>
      </c>
      <c r="D15" s="3">
        <f t="shared" si="0"/>
        <v>0.33333333333333298</v>
      </c>
      <c r="E15" s="4"/>
      <c r="F15" s="13"/>
      <c r="G15"/>
      <c r="H15" s="4"/>
      <c r="I15" s="4"/>
      <c r="J15" s="20"/>
      <c r="K15" s="9"/>
    </row>
    <row r="16" spans="1:13" ht="60" customHeight="1" x14ac:dyDescent="0.35">
      <c r="A16" s="10">
        <v>46192</v>
      </c>
      <c r="B16" s="3">
        <v>0.41666666666666702</v>
      </c>
      <c r="C16" s="3">
        <v>0.70833333333333337</v>
      </c>
      <c r="D16" s="3">
        <f t="shared" si="0"/>
        <v>0.29166666666666635</v>
      </c>
      <c r="F16" s="13"/>
      <c r="J16" s="20"/>
    </row>
    <row r="17" spans="1:6" ht="60" customHeight="1" x14ac:dyDescent="0.35">
      <c r="A17" s="10">
        <v>46195</v>
      </c>
      <c r="B17" s="3">
        <v>0.41666666666666702</v>
      </c>
      <c r="C17" s="3">
        <v>0.75</v>
      </c>
      <c r="D17" s="3">
        <f t="shared" si="0"/>
        <v>0.33333333333333298</v>
      </c>
      <c r="F17" s="13"/>
    </row>
    <row r="18" spans="1:6" ht="60" customHeight="1" x14ac:dyDescent="0.35">
      <c r="A18" s="10">
        <v>46196</v>
      </c>
      <c r="B18" s="3">
        <v>0.41666666666666702</v>
      </c>
      <c r="C18" s="3">
        <v>0.75</v>
      </c>
      <c r="D18" s="3">
        <f t="shared" si="0"/>
        <v>0.33333333333333298</v>
      </c>
      <c r="F18" s="13"/>
    </row>
    <row r="19" spans="1:6" ht="60" customHeight="1" x14ac:dyDescent="0.35">
      <c r="A19" s="10">
        <v>46197</v>
      </c>
      <c r="B19" s="3">
        <v>0.41666666666666702</v>
      </c>
      <c r="C19" s="3">
        <v>0.75</v>
      </c>
      <c r="D19" s="3">
        <f t="shared" si="0"/>
        <v>0.33333333333333298</v>
      </c>
      <c r="F19" s="13"/>
    </row>
    <row r="20" spans="1:6" ht="60" customHeight="1" x14ac:dyDescent="0.35">
      <c r="A20" s="10">
        <v>46198</v>
      </c>
      <c r="B20" s="3">
        <v>0.41666666666666702</v>
      </c>
      <c r="C20" s="3">
        <v>0.75</v>
      </c>
      <c r="D20" s="3">
        <f t="shared" si="0"/>
        <v>0.33333333333333298</v>
      </c>
      <c r="F20" s="22"/>
    </row>
    <row r="21" spans="1:6" ht="60" customHeight="1" x14ac:dyDescent="0.35">
      <c r="A21" s="10">
        <v>46199</v>
      </c>
      <c r="B21" s="3">
        <v>0.41666666666666702</v>
      </c>
      <c r="C21" s="3">
        <v>0.70833333333333337</v>
      </c>
      <c r="D21" s="3">
        <f t="shared" si="0"/>
        <v>0.29166666666666635</v>
      </c>
      <c r="F21" s="22"/>
    </row>
    <row r="22" spans="1:6" ht="60" customHeight="1" x14ac:dyDescent="0.35">
      <c r="A22" s="10">
        <v>46202</v>
      </c>
      <c r="B22" s="3">
        <v>0.41666666666666702</v>
      </c>
      <c r="C22" s="3">
        <v>0.75</v>
      </c>
      <c r="D22" s="3">
        <f t="shared" si="0"/>
        <v>0.33333333333333298</v>
      </c>
      <c r="F22" s="22"/>
    </row>
    <row r="23" spans="1:6" ht="60" customHeight="1" x14ac:dyDescent="0.35">
      <c r="A23" s="10">
        <v>46203</v>
      </c>
      <c r="B23" s="3">
        <v>0.41666666666666702</v>
      </c>
      <c r="C23" s="3">
        <v>0.75</v>
      </c>
      <c r="D23" s="3">
        <f t="shared" ref="D23" si="1">C23-B23</f>
        <v>0.33333333333333298</v>
      </c>
      <c r="F23" s="2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F474-BA14-4E6E-A9AC-C2D4AA505628}">
  <dimension ref="A1:M24"/>
  <sheetViews>
    <sheetView topLeftCell="E1" workbookViewId="0">
      <selection activeCell="I5" sqref="I5"/>
    </sheetView>
  </sheetViews>
  <sheetFormatPr defaultRowHeight="14.5" x14ac:dyDescent="0.35"/>
  <cols>
    <col min="1" max="1" width="36.453125" style="10" customWidth="1"/>
    <col min="2" max="2" width="12" style="4" customWidth="1"/>
    <col min="3" max="3" width="9.7265625" style="4" customWidth="1"/>
    <col min="4" max="4" width="10.54296875" style="4" customWidth="1"/>
    <col min="5" max="5" width="11.7265625" style="4" customWidth="1"/>
    <col min="6" max="6" width="97.26953125" style="4" customWidth="1"/>
    <col min="8" max="8" width="13.54296875" style="4" customWidth="1"/>
    <col min="9" max="9" width="31.81640625" style="4" customWidth="1"/>
    <col min="10" max="10" width="20.7265625" style="8" customWidth="1"/>
    <col min="11" max="11" width="20.7265625" style="9" customWidth="1"/>
  </cols>
  <sheetData>
    <row r="1" spans="1:13" s="1" customFormat="1" x14ac:dyDescent="0.35">
      <c r="A1" s="1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5" t="s">
        <v>6</v>
      </c>
      <c r="I1" s="6" t="s">
        <v>7</v>
      </c>
      <c r="J1" s="7" t="s">
        <v>8</v>
      </c>
      <c r="K1" s="5" t="s">
        <v>9</v>
      </c>
    </row>
    <row r="2" spans="1:13" ht="60" customHeight="1" x14ac:dyDescent="0.35">
      <c r="A2" s="10">
        <v>46204</v>
      </c>
      <c r="B2" s="3">
        <v>0.41666666666666669</v>
      </c>
      <c r="C2" s="3">
        <v>0.75</v>
      </c>
      <c r="D2" s="3">
        <f t="shared" ref="D2:D23" si="0">C2-B2</f>
        <v>0.33333333333333331</v>
      </c>
      <c r="F2" s="13"/>
      <c r="H2" s="4">
        <f>COUNTIF(E:E, "=Worked")</f>
        <v>0</v>
      </c>
      <c r="I2" s="8">
        <f>SUMIF(E:E, "=Worked", D:D)</f>
        <v>0</v>
      </c>
      <c r="J2" s="9">
        <f>(I2*24)*85</f>
        <v>0</v>
      </c>
      <c r="K2" s="9">
        <f>J2+(J2*0.21)-(J2*0.15)</f>
        <v>0</v>
      </c>
    </row>
    <row r="3" spans="1:13" s="11" customFormat="1" ht="60" customHeight="1" x14ac:dyDescent="0.35">
      <c r="A3" s="10">
        <v>46205</v>
      </c>
      <c r="B3" s="3">
        <v>0.41666666666666669</v>
      </c>
      <c r="C3" s="3">
        <v>0.75</v>
      </c>
      <c r="D3" s="3">
        <f t="shared" si="0"/>
        <v>0.33333333333333331</v>
      </c>
      <c r="E3" s="4"/>
      <c r="F3" s="13"/>
      <c r="H3" s="4"/>
      <c r="I3" s="4"/>
      <c r="J3" s="8"/>
      <c r="K3" s="9"/>
    </row>
    <row r="4" spans="1:13" ht="60" customHeight="1" x14ac:dyDescent="0.35">
      <c r="A4" s="10">
        <v>46206</v>
      </c>
      <c r="B4" s="3">
        <v>0.41666666666666702</v>
      </c>
      <c r="C4" s="3">
        <v>0.70833333333333337</v>
      </c>
      <c r="D4" s="3">
        <f t="shared" si="0"/>
        <v>0.29166666666666635</v>
      </c>
      <c r="F4" s="13"/>
      <c r="H4" s="5" t="s">
        <v>13</v>
      </c>
      <c r="I4" s="19" t="s">
        <v>14</v>
      </c>
      <c r="J4" s="19"/>
    </row>
    <row r="5" spans="1:13" ht="60" customHeight="1" x14ac:dyDescent="0.35">
      <c r="A5" s="10">
        <v>46209</v>
      </c>
      <c r="B5" s="3">
        <v>0.41666666666666702</v>
      </c>
      <c r="C5" s="3">
        <v>0.75</v>
      </c>
      <c r="D5" s="3">
        <f t="shared" si="0"/>
        <v>0.33333333333333298</v>
      </c>
      <c r="F5" s="13"/>
      <c r="H5" s="4">
        <f>COUNTIF(E:E, "=Vacation")+ COUNTIF(E:E, "=Holiday")</f>
        <v>0</v>
      </c>
      <c r="I5" s="21">
        <f ca="1">'June 26'!I5-SUMIF(E:E, "=Worked", D1:D24)</f>
        <v>53.666666666666686</v>
      </c>
      <c r="J5" s="20"/>
    </row>
    <row r="6" spans="1:13" ht="60" customHeight="1" x14ac:dyDescent="0.35">
      <c r="A6" s="10">
        <v>46210</v>
      </c>
      <c r="B6" s="3">
        <v>0.41666666666666702</v>
      </c>
      <c r="C6" s="3">
        <v>0.75</v>
      </c>
      <c r="D6" s="3">
        <f t="shared" si="0"/>
        <v>0.33333333333333298</v>
      </c>
      <c r="F6" s="13"/>
    </row>
    <row r="7" spans="1:13" ht="60" customHeight="1" x14ac:dyDescent="0.35">
      <c r="A7" s="10">
        <v>46211</v>
      </c>
      <c r="B7" s="3">
        <v>0.41666666666666702</v>
      </c>
      <c r="C7" s="3">
        <v>0.75</v>
      </c>
      <c r="D7" s="3">
        <f t="shared" si="0"/>
        <v>0.33333333333333298</v>
      </c>
      <c r="F7" s="22"/>
    </row>
    <row r="8" spans="1:13" ht="60" customHeight="1" x14ac:dyDescent="0.35">
      <c r="A8" s="10">
        <v>46212</v>
      </c>
      <c r="B8" s="3">
        <v>0.41666666666666702</v>
      </c>
      <c r="C8" s="3">
        <v>0.75</v>
      </c>
      <c r="D8" s="3">
        <f t="shared" si="0"/>
        <v>0.33333333333333298</v>
      </c>
      <c r="F8" s="13"/>
      <c r="J8" s="20"/>
    </row>
    <row r="9" spans="1:13" ht="60" customHeight="1" x14ac:dyDescent="0.35">
      <c r="A9" s="10">
        <v>46213</v>
      </c>
      <c r="B9" s="3">
        <v>0.41666666666666702</v>
      </c>
      <c r="C9" s="3">
        <v>0.70833333333333337</v>
      </c>
      <c r="D9" s="3">
        <f t="shared" si="0"/>
        <v>0.29166666666666635</v>
      </c>
      <c r="F9" s="13"/>
      <c r="J9" s="20"/>
    </row>
    <row r="10" spans="1:13" ht="60" customHeight="1" x14ac:dyDescent="0.35">
      <c r="A10" s="10">
        <v>46216</v>
      </c>
      <c r="B10" s="3">
        <v>0.41666666666666702</v>
      </c>
      <c r="C10" s="3">
        <v>0.75</v>
      </c>
      <c r="D10" s="3">
        <f t="shared" si="0"/>
        <v>0.33333333333333298</v>
      </c>
      <c r="F10" s="13"/>
      <c r="J10" s="20"/>
    </row>
    <row r="11" spans="1:13" ht="60" customHeight="1" x14ac:dyDescent="0.35">
      <c r="A11" s="10">
        <v>46217</v>
      </c>
      <c r="B11" s="3">
        <v>0.41666666666666702</v>
      </c>
      <c r="C11" s="3">
        <v>0.75</v>
      </c>
      <c r="D11" s="3">
        <f t="shared" si="0"/>
        <v>0.33333333333333298</v>
      </c>
      <c r="F11" s="13"/>
      <c r="J11" s="20"/>
      <c r="L11" s="4"/>
    </row>
    <row r="12" spans="1:13" s="2" customFormat="1" ht="60" customHeight="1" x14ac:dyDescent="0.35">
      <c r="A12" s="10">
        <v>46218</v>
      </c>
      <c r="B12" s="3">
        <v>0.41666666666666702</v>
      </c>
      <c r="C12" s="3">
        <v>0.75</v>
      </c>
      <c r="D12" s="3">
        <f t="shared" si="0"/>
        <v>0.33333333333333298</v>
      </c>
      <c r="E12" s="4"/>
      <c r="F12" s="13"/>
      <c r="G12"/>
      <c r="H12" s="4"/>
      <c r="I12" s="4"/>
      <c r="J12" s="20"/>
      <c r="K12" s="9"/>
      <c r="L12" s="4"/>
      <c r="M12"/>
    </row>
    <row r="13" spans="1:13" s="2" customFormat="1" ht="60" customHeight="1" x14ac:dyDescent="0.35">
      <c r="A13" s="10">
        <v>46219</v>
      </c>
      <c r="B13" s="3">
        <v>0.41666666666666702</v>
      </c>
      <c r="C13" s="3">
        <v>0.75</v>
      </c>
      <c r="D13" s="3">
        <f t="shared" si="0"/>
        <v>0.33333333333333298</v>
      </c>
      <c r="E13" s="4"/>
      <c r="F13" s="13"/>
      <c r="G13"/>
      <c r="H13" s="4"/>
      <c r="I13" s="4"/>
      <c r="J13" s="20"/>
      <c r="K13" s="9"/>
      <c r="L13" s="4"/>
      <c r="M13"/>
    </row>
    <row r="14" spans="1:13" s="2" customFormat="1" ht="60" customHeight="1" x14ac:dyDescent="0.35">
      <c r="A14" s="10">
        <v>46220</v>
      </c>
      <c r="B14" s="3">
        <v>0.41666666666666702</v>
      </c>
      <c r="C14" s="3">
        <v>0.70833333333333337</v>
      </c>
      <c r="D14" s="3">
        <f t="shared" si="0"/>
        <v>0.29166666666666635</v>
      </c>
      <c r="E14" s="4"/>
      <c r="F14" s="13"/>
      <c r="G14"/>
      <c r="H14" s="4"/>
      <c r="K14" s="9"/>
    </row>
    <row r="15" spans="1:13" s="2" customFormat="1" ht="60" customHeight="1" x14ac:dyDescent="0.35">
      <c r="A15" s="10">
        <v>46223</v>
      </c>
      <c r="B15" s="3">
        <v>0.41666666666666702</v>
      </c>
      <c r="C15" s="3">
        <v>0.75</v>
      </c>
      <c r="D15" s="3">
        <f t="shared" si="0"/>
        <v>0.33333333333333298</v>
      </c>
      <c r="E15" s="4"/>
      <c r="F15" s="13"/>
      <c r="G15"/>
      <c r="H15" s="4"/>
      <c r="I15" s="4"/>
      <c r="J15" s="20"/>
      <c r="K15" s="9"/>
    </row>
    <row r="16" spans="1:13" ht="60" customHeight="1" x14ac:dyDescent="0.35">
      <c r="A16" s="10">
        <v>46224</v>
      </c>
      <c r="B16" s="3">
        <v>0.41666666666666702</v>
      </c>
      <c r="C16" s="3">
        <v>0.75</v>
      </c>
      <c r="D16" s="3">
        <f t="shared" si="0"/>
        <v>0.33333333333333298</v>
      </c>
      <c r="F16" s="13"/>
      <c r="J16" s="20"/>
    </row>
    <row r="17" spans="1:6" ht="60" customHeight="1" x14ac:dyDescent="0.35">
      <c r="A17" s="10">
        <v>46225</v>
      </c>
      <c r="B17" s="3">
        <v>0.41666666666666702</v>
      </c>
      <c r="C17" s="3">
        <v>0.75</v>
      </c>
      <c r="D17" s="3">
        <f t="shared" si="0"/>
        <v>0.33333333333333298</v>
      </c>
      <c r="F17" s="13"/>
    </row>
    <row r="18" spans="1:6" ht="60" customHeight="1" x14ac:dyDescent="0.35">
      <c r="A18" s="10">
        <v>46226</v>
      </c>
      <c r="B18" s="3">
        <v>0.41666666666666702</v>
      </c>
      <c r="C18" s="3">
        <v>0.75</v>
      </c>
      <c r="D18" s="3">
        <f t="shared" si="0"/>
        <v>0.33333333333333298</v>
      </c>
      <c r="F18" s="13"/>
    </row>
    <row r="19" spans="1:6" ht="60" customHeight="1" x14ac:dyDescent="0.35">
      <c r="A19" s="10">
        <v>46227</v>
      </c>
      <c r="B19" s="3">
        <v>0.41666666666666702</v>
      </c>
      <c r="C19" s="3">
        <v>0.70833333333333337</v>
      </c>
      <c r="D19" s="3">
        <f t="shared" si="0"/>
        <v>0.29166666666666635</v>
      </c>
      <c r="F19" s="13"/>
    </row>
    <row r="20" spans="1:6" ht="60" customHeight="1" x14ac:dyDescent="0.35">
      <c r="A20" s="10">
        <v>46230</v>
      </c>
      <c r="B20" s="3">
        <v>0.41666666666666702</v>
      </c>
      <c r="C20" s="3">
        <v>0.75</v>
      </c>
      <c r="D20" s="3">
        <f t="shared" si="0"/>
        <v>0.33333333333333298</v>
      </c>
      <c r="F20" s="22"/>
    </row>
    <row r="21" spans="1:6" ht="60" customHeight="1" x14ac:dyDescent="0.35">
      <c r="A21" s="10">
        <v>46231</v>
      </c>
      <c r="B21" s="3">
        <v>0.41666666666666702</v>
      </c>
      <c r="C21" s="3">
        <v>0.75</v>
      </c>
      <c r="D21" s="3">
        <f t="shared" si="0"/>
        <v>0.33333333333333298</v>
      </c>
      <c r="F21" s="22"/>
    </row>
    <row r="22" spans="1:6" ht="60" customHeight="1" x14ac:dyDescent="0.35">
      <c r="A22" s="10">
        <v>46232</v>
      </c>
      <c r="B22" s="3">
        <v>0.41666666666666702</v>
      </c>
      <c r="C22" s="3">
        <v>0.75</v>
      </c>
      <c r="D22" s="3">
        <f t="shared" si="0"/>
        <v>0.33333333333333298</v>
      </c>
      <c r="F22" s="22"/>
    </row>
    <row r="23" spans="1:6" ht="60" customHeight="1" x14ac:dyDescent="0.35">
      <c r="A23" s="10">
        <v>46233</v>
      </c>
      <c r="B23" s="3">
        <v>0.41666666666666702</v>
      </c>
      <c r="C23" s="3">
        <v>0.75</v>
      </c>
      <c r="D23" s="3">
        <f t="shared" si="0"/>
        <v>0.33333333333333298</v>
      </c>
      <c r="F23" s="22"/>
    </row>
    <row r="24" spans="1:6" ht="60" customHeight="1" x14ac:dyDescent="0.35">
      <c r="A24" s="10">
        <v>46234</v>
      </c>
      <c r="B24" s="3">
        <v>0.41666666666666702</v>
      </c>
      <c r="C24" s="3">
        <v>0.70833333333333337</v>
      </c>
      <c r="D24" s="3">
        <f t="shared" ref="D24" si="1">C24-B24</f>
        <v>0.29166666666666635</v>
      </c>
      <c r="F24" s="22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A84DC-1016-41CD-AC58-FFA73AFB4BD0}">
  <dimension ref="A1:K22"/>
  <sheetViews>
    <sheetView topLeftCell="E1" workbookViewId="0">
      <selection activeCell="M4" sqref="M4"/>
    </sheetView>
  </sheetViews>
  <sheetFormatPr defaultRowHeight="14.5" x14ac:dyDescent="0.35"/>
  <cols>
    <col min="1" max="1" width="36.453125" style="10" customWidth="1"/>
    <col min="2" max="2" width="12" style="4" customWidth="1"/>
    <col min="3" max="3" width="9.7265625" style="4" customWidth="1"/>
    <col min="4" max="4" width="10.54296875" style="4" customWidth="1"/>
    <col min="5" max="5" width="11.7265625" style="4" customWidth="1"/>
    <col min="6" max="6" width="97.26953125" style="4" customWidth="1"/>
    <col min="8" max="8" width="13.54296875" style="4" customWidth="1"/>
    <col min="9" max="9" width="31.81640625" style="4" customWidth="1"/>
  </cols>
  <sheetData>
    <row r="1" spans="1:11" s="1" customFormat="1" x14ac:dyDescent="0.35">
      <c r="A1" s="1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5" t="s">
        <v>6</v>
      </c>
      <c r="I1" s="6" t="s">
        <v>7</v>
      </c>
    </row>
    <row r="2" spans="1:11" ht="60" customHeight="1" x14ac:dyDescent="0.35">
      <c r="A2" s="10">
        <v>46237</v>
      </c>
      <c r="B2" s="3">
        <v>0.41666666666666669</v>
      </c>
      <c r="C2" s="3">
        <v>0.75</v>
      </c>
      <c r="D2" s="3">
        <f t="shared" ref="D2:D22" si="0">C2-B2</f>
        <v>0.33333333333333331</v>
      </c>
      <c r="F2" s="13"/>
      <c r="H2" s="4">
        <f>COUNTIF(E:E, "=Worked")</f>
        <v>0</v>
      </c>
      <c r="I2" s="8">
        <f>SUMIF(E:E, "=Worked", D:D)</f>
        <v>0</v>
      </c>
    </row>
    <row r="3" spans="1:11" s="11" customFormat="1" ht="60" customHeight="1" x14ac:dyDescent="0.35">
      <c r="A3" s="10">
        <v>46238</v>
      </c>
      <c r="B3" s="3">
        <v>0.41666666666666669</v>
      </c>
      <c r="C3" s="3">
        <v>0.75</v>
      </c>
      <c r="D3" s="3">
        <f t="shared" si="0"/>
        <v>0.33333333333333331</v>
      </c>
      <c r="E3" s="4"/>
      <c r="F3" s="13"/>
      <c r="H3" s="4"/>
      <c r="I3" s="4"/>
    </row>
    <row r="4" spans="1:11" ht="60" customHeight="1" x14ac:dyDescent="0.35">
      <c r="A4" s="10">
        <v>46239</v>
      </c>
      <c r="B4" s="3">
        <v>0.41666666666666702</v>
      </c>
      <c r="C4" s="3">
        <v>0.75</v>
      </c>
      <c r="D4" s="3">
        <f t="shared" si="0"/>
        <v>0.33333333333333298</v>
      </c>
      <c r="F4" s="13"/>
      <c r="H4" s="5" t="s">
        <v>13</v>
      </c>
      <c r="I4" s="19" t="s">
        <v>14</v>
      </c>
    </row>
    <row r="5" spans="1:11" ht="60" customHeight="1" x14ac:dyDescent="0.35">
      <c r="A5" s="10">
        <v>46240</v>
      </c>
      <c r="B5" s="3">
        <v>0.41666666666666702</v>
      </c>
      <c r="C5" s="3">
        <v>0.75</v>
      </c>
      <c r="D5" s="3">
        <f t="shared" si="0"/>
        <v>0.33333333333333298</v>
      </c>
      <c r="F5" s="13"/>
      <c r="H5" s="4">
        <f>COUNTIF(E:E, "=Vacation")+ COUNTIF(E:E, "=Holiday")</f>
        <v>15</v>
      </c>
      <c r="I5" s="21">
        <f ca="1">'July 26'!I5-SUMIF(E:E, "=Worked", D1:D22)</f>
        <v>53.666666666666686</v>
      </c>
    </row>
    <row r="6" spans="1:11" ht="60" customHeight="1" x14ac:dyDescent="0.35">
      <c r="A6" s="10">
        <v>46241</v>
      </c>
      <c r="B6" s="3">
        <v>0.41666666666666702</v>
      </c>
      <c r="C6" s="3">
        <v>0.70833333333333337</v>
      </c>
      <c r="D6" s="3">
        <f t="shared" si="0"/>
        <v>0.29166666666666635</v>
      </c>
      <c r="F6" s="13"/>
    </row>
    <row r="7" spans="1:11" ht="60" customHeight="1" x14ac:dyDescent="0.35">
      <c r="A7" s="14">
        <v>46244</v>
      </c>
      <c r="B7" s="15">
        <v>0.41666666666666702</v>
      </c>
      <c r="C7" s="15">
        <v>0.75</v>
      </c>
      <c r="D7" s="15">
        <f t="shared" si="0"/>
        <v>0.33333333333333298</v>
      </c>
      <c r="E7" s="16" t="s">
        <v>10</v>
      </c>
      <c r="F7" s="17"/>
    </row>
    <row r="8" spans="1:11" ht="60" customHeight="1" x14ac:dyDescent="0.35">
      <c r="A8" s="14">
        <v>46245</v>
      </c>
      <c r="B8" s="15">
        <v>0.41666666666666702</v>
      </c>
      <c r="C8" s="15">
        <v>0.75</v>
      </c>
      <c r="D8" s="15">
        <f t="shared" si="0"/>
        <v>0.33333333333333298</v>
      </c>
      <c r="E8" s="16" t="s">
        <v>10</v>
      </c>
      <c r="F8" s="18"/>
    </row>
    <row r="9" spans="1:11" ht="60" customHeight="1" x14ac:dyDescent="0.35">
      <c r="A9" s="14">
        <v>46246</v>
      </c>
      <c r="B9" s="15">
        <v>0.41666666666666702</v>
      </c>
      <c r="C9" s="15">
        <v>0.75</v>
      </c>
      <c r="D9" s="15">
        <f t="shared" si="0"/>
        <v>0.33333333333333298</v>
      </c>
      <c r="E9" s="16" t="s">
        <v>10</v>
      </c>
      <c r="F9" s="18"/>
    </row>
    <row r="10" spans="1:11" ht="60" customHeight="1" x14ac:dyDescent="0.35">
      <c r="A10" s="14">
        <v>46247</v>
      </c>
      <c r="B10" s="15">
        <v>0.41666666666666702</v>
      </c>
      <c r="C10" s="15">
        <v>0.75</v>
      </c>
      <c r="D10" s="15">
        <f t="shared" si="0"/>
        <v>0.33333333333333298</v>
      </c>
      <c r="E10" s="16" t="s">
        <v>10</v>
      </c>
      <c r="F10" s="18"/>
    </row>
    <row r="11" spans="1:11" ht="60" customHeight="1" x14ac:dyDescent="0.35">
      <c r="A11" s="14">
        <v>46248</v>
      </c>
      <c r="B11" s="15">
        <v>0.41666666666666702</v>
      </c>
      <c r="C11" s="15">
        <v>0.70833333333333337</v>
      </c>
      <c r="D11" s="15">
        <f t="shared" si="0"/>
        <v>0.29166666666666635</v>
      </c>
      <c r="E11" s="16" t="s">
        <v>10</v>
      </c>
      <c r="F11" s="18"/>
      <c r="J11" s="4"/>
    </row>
    <row r="12" spans="1:11" s="2" customFormat="1" ht="60" customHeight="1" x14ac:dyDescent="0.35">
      <c r="A12" s="14">
        <v>46251</v>
      </c>
      <c r="B12" s="15">
        <v>0.41666666666666702</v>
      </c>
      <c r="C12" s="15">
        <v>0.75</v>
      </c>
      <c r="D12" s="15">
        <f t="shared" si="0"/>
        <v>0.33333333333333298</v>
      </c>
      <c r="E12" s="16" t="s">
        <v>10</v>
      </c>
      <c r="F12" s="18"/>
      <c r="G12"/>
      <c r="H12" s="4"/>
      <c r="I12" s="4"/>
      <c r="J12" s="4"/>
      <c r="K12"/>
    </row>
    <row r="13" spans="1:11" s="2" customFormat="1" ht="60" customHeight="1" x14ac:dyDescent="0.35">
      <c r="A13" s="14">
        <v>46252</v>
      </c>
      <c r="B13" s="15">
        <v>0.41666666666666702</v>
      </c>
      <c r="C13" s="15">
        <v>0.75</v>
      </c>
      <c r="D13" s="15">
        <f t="shared" si="0"/>
        <v>0.33333333333333298</v>
      </c>
      <c r="E13" s="16" t="s">
        <v>10</v>
      </c>
      <c r="F13" s="18"/>
      <c r="G13"/>
      <c r="H13" s="4"/>
      <c r="I13" s="4"/>
      <c r="J13" s="4"/>
      <c r="K13"/>
    </row>
    <row r="14" spans="1:11" s="2" customFormat="1" ht="60" customHeight="1" x14ac:dyDescent="0.35">
      <c r="A14" s="14">
        <v>46253</v>
      </c>
      <c r="B14" s="15">
        <v>0.41666666666666702</v>
      </c>
      <c r="C14" s="15">
        <v>0.75</v>
      </c>
      <c r="D14" s="15">
        <f t="shared" si="0"/>
        <v>0.33333333333333298</v>
      </c>
      <c r="E14" s="16" t="s">
        <v>10</v>
      </c>
      <c r="F14" s="18"/>
      <c r="G14"/>
      <c r="H14" s="4"/>
    </row>
    <row r="15" spans="1:11" s="2" customFormat="1" ht="60" customHeight="1" x14ac:dyDescent="0.35">
      <c r="A15" s="14">
        <v>46254</v>
      </c>
      <c r="B15" s="15">
        <v>0.41666666666666702</v>
      </c>
      <c r="C15" s="15">
        <v>0.75</v>
      </c>
      <c r="D15" s="15">
        <f t="shared" si="0"/>
        <v>0.33333333333333298</v>
      </c>
      <c r="E15" s="16" t="s">
        <v>10</v>
      </c>
      <c r="F15" s="18"/>
      <c r="G15"/>
      <c r="H15" s="4"/>
      <c r="I15" s="4"/>
    </row>
    <row r="16" spans="1:11" ht="60" customHeight="1" x14ac:dyDescent="0.35">
      <c r="A16" s="14">
        <v>46255</v>
      </c>
      <c r="B16" s="15">
        <v>0.41666666666666702</v>
      </c>
      <c r="C16" s="15">
        <v>0.70833333333333337</v>
      </c>
      <c r="D16" s="15">
        <f t="shared" si="0"/>
        <v>0.29166666666666635</v>
      </c>
      <c r="E16" s="16" t="s">
        <v>10</v>
      </c>
      <c r="F16" s="18"/>
    </row>
    <row r="17" spans="1:6" ht="60" customHeight="1" x14ac:dyDescent="0.35">
      <c r="A17" s="14">
        <v>46258</v>
      </c>
      <c r="B17" s="15">
        <v>0.41666666666666702</v>
      </c>
      <c r="C17" s="15">
        <v>0.75</v>
      </c>
      <c r="D17" s="15">
        <f t="shared" si="0"/>
        <v>0.33333333333333298</v>
      </c>
      <c r="E17" s="16" t="s">
        <v>10</v>
      </c>
      <c r="F17" s="18"/>
    </row>
    <row r="18" spans="1:6" ht="60" customHeight="1" x14ac:dyDescent="0.35">
      <c r="A18" s="14">
        <v>46259</v>
      </c>
      <c r="B18" s="15">
        <v>0.41666666666666702</v>
      </c>
      <c r="C18" s="15">
        <v>0.75</v>
      </c>
      <c r="D18" s="15">
        <f t="shared" si="0"/>
        <v>0.33333333333333298</v>
      </c>
      <c r="E18" s="16" t="s">
        <v>10</v>
      </c>
      <c r="F18" s="18"/>
    </row>
    <row r="19" spans="1:6" ht="60" customHeight="1" x14ac:dyDescent="0.35">
      <c r="A19" s="14">
        <v>46260</v>
      </c>
      <c r="B19" s="15">
        <v>0.41666666666666702</v>
      </c>
      <c r="C19" s="15">
        <v>0.75</v>
      </c>
      <c r="D19" s="15">
        <f t="shared" si="0"/>
        <v>0.33333333333333298</v>
      </c>
      <c r="E19" s="16" t="s">
        <v>10</v>
      </c>
      <c r="F19" s="18"/>
    </row>
    <row r="20" spans="1:6" ht="60" customHeight="1" x14ac:dyDescent="0.35">
      <c r="A20" s="14">
        <v>46261</v>
      </c>
      <c r="B20" s="15">
        <v>0.41666666666666702</v>
      </c>
      <c r="C20" s="15">
        <v>0.75</v>
      </c>
      <c r="D20" s="15">
        <f t="shared" si="0"/>
        <v>0.33333333333333298</v>
      </c>
      <c r="E20" s="16" t="s">
        <v>10</v>
      </c>
      <c r="F20" s="17"/>
    </row>
    <row r="21" spans="1:6" ht="60" customHeight="1" x14ac:dyDescent="0.35">
      <c r="A21" s="14">
        <v>46262</v>
      </c>
      <c r="B21" s="15">
        <v>0.41666666666666702</v>
      </c>
      <c r="C21" s="15">
        <v>0.70833333333333337</v>
      </c>
      <c r="D21" s="15">
        <f t="shared" si="0"/>
        <v>0.29166666666666635</v>
      </c>
      <c r="E21" s="16" t="s">
        <v>10</v>
      </c>
      <c r="F21" s="17"/>
    </row>
    <row r="22" spans="1:6" ht="60" customHeight="1" x14ac:dyDescent="0.35">
      <c r="A22" s="10">
        <v>46265</v>
      </c>
      <c r="B22" s="3">
        <v>0.41666666666666702</v>
      </c>
      <c r="C22" s="3">
        <v>0.75</v>
      </c>
      <c r="D22" s="3">
        <f t="shared" si="0"/>
        <v>0.33333333333333298</v>
      </c>
      <c r="F22" s="22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0572-6157-450A-B75B-4A48EAC2AD25}">
  <dimension ref="A1:K23"/>
  <sheetViews>
    <sheetView workbookViewId="0">
      <selection activeCell="I11" sqref="I11"/>
    </sheetView>
  </sheetViews>
  <sheetFormatPr defaultRowHeight="14.5" x14ac:dyDescent="0.35"/>
  <cols>
    <col min="1" max="1" width="36.453125" style="10" customWidth="1"/>
    <col min="2" max="2" width="12" style="4" customWidth="1"/>
    <col min="3" max="3" width="9.7265625" style="4" customWidth="1"/>
    <col min="4" max="4" width="10.54296875" style="4" customWidth="1"/>
    <col min="5" max="5" width="11.7265625" style="4" customWidth="1"/>
    <col min="6" max="6" width="97.26953125" style="4" customWidth="1"/>
    <col min="8" max="8" width="13.54296875" style="4" customWidth="1"/>
    <col min="9" max="9" width="31.81640625" style="4" customWidth="1"/>
  </cols>
  <sheetData>
    <row r="1" spans="1:11" s="1" customFormat="1" x14ac:dyDescent="0.35">
      <c r="A1" s="1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5" t="s">
        <v>6</v>
      </c>
      <c r="I1" s="6" t="s">
        <v>7</v>
      </c>
    </row>
    <row r="2" spans="1:11" ht="60" customHeight="1" x14ac:dyDescent="0.35">
      <c r="A2" s="10">
        <v>46266</v>
      </c>
      <c r="B2" s="3">
        <v>0.41666666666666669</v>
      </c>
      <c r="C2" s="3">
        <v>0.75</v>
      </c>
      <c r="D2" s="3">
        <f t="shared" ref="D2:D22" si="0">C2-B2</f>
        <v>0.33333333333333331</v>
      </c>
      <c r="F2" s="13"/>
      <c r="H2" s="4">
        <f>COUNTIF(E:E, "=Worked")</f>
        <v>0</v>
      </c>
      <c r="I2" s="8">
        <f>SUMIF(E:E, "=Worked", D:D)</f>
        <v>0</v>
      </c>
    </row>
    <row r="3" spans="1:11" s="11" customFormat="1" ht="60" customHeight="1" x14ac:dyDescent="0.35">
      <c r="A3" s="10">
        <v>46267</v>
      </c>
      <c r="B3" s="3">
        <v>0.41666666666666669</v>
      </c>
      <c r="C3" s="3">
        <v>0.75</v>
      </c>
      <c r="D3" s="3">
        <f t="shared" si="0"/>
        <v>0.33333333333333331</v>
      </c>
      <c r="E3" s="4"/>
      <c r="F3" s="13"/>
      <c r="H3" s="4"/>
      <c r="I3" s="4"/>
    </row>
    <row r="4" spans="1:11" ht="60" customHeight="1" x14ac:dyDescent="0.35">
      <c r="A4" s="10">
        <v>46268</v>
      </c>
      <c r="B4" s="3">
        <v>0.41666666666666702</v>
      </c>
      <c r="C4" s="3">
        <v>0.75</v>
      </c>
      <c r="D4" s="3">
        <f t="shared" si="0"/>
        <v>0.33333333333333298</v>
      </c>
      <c r="F4" s="13"/>
      <c r="H4" s="5" t="s">
        <v>13</v>
      </c>
      <c r="I4" s="19" t="s">
        <v>14</v>
      </c>
    </row>
    <row r="5" spans="1:11" ht="60" customHeight="1" x14ac:dyDescent="0.35">
      <c r="A5" s="10">
        <v>46269</v>
      </c>
      <c r="B5" s="3">
        <v>0.41666666666666702</v>
      </c>
      <c r="C5" s="3">
        <v>0.70833333333333337</v>
      </c>
      <c r="D5" s="3">
        <f t="shared" si="0"/>
        <v>0.29166666666666635</v>
      </c>
      <c r="F5" s="13"/>
      <c r="H5" s="4">
        <f>COUNTIF(E:E, "=Vacation")+ COUNTIF(E:E, "=Holiday")</f>
        <v>0</v>
      </c>
      <c r="I5" s="21">
        <f ca="1">'August 26'!I5-SUMIF(E:E, "=Worked", D1:D23)</f>
        <v>53.666666666666686</v>
      </c>
    </row>
    <row r="6" spans="1:11" ht="60" customHeight="1" x14ac:dyDescent="0.35">
      <c r="A6" s="10">
        <v>46272</v>
      </c>
      <c r="B6" s="3">
        <v>0.41666666666666702</v>
      </c>
      <c r="C6" s="3">
        <v>0.75</v>
      </c>
      <c r="D6" s="3">
        <f t="shared" si="0"/>
        <v>0.33333333333333298</v>
      </c>
      <c r="F6" s="13"/>
    </row>
    <row r="7" spans="1:11" ht="60" customHeight="1" x14ac:dyDescent="0.35">
      <c r="A7" s="10">
        <v>46273</v>
      </c>
      <c r="B7" s="3">
        <v>0.41666666666666702</v>
      </c>
      <c r="C7" s="3">
        <v>0.75</v>
      </c>
      <c r="D7" s="3">
        <f t="shared" si="0"/>
        <v>0.33333333333333298</v>
      </c>
      <c r="F7" s="22"/>
    </row>
    <row r="8" spans="1:11" ht="60" customHeight="1" x14ac:dyDescent="0.35">
      <c r="A8" s="10">
        <v>46274</v>
      </c>
      <c r="B8" s="3">
        <v>0.41666666666666702</v>
      </c>
      <c r="C8" s="3">
        <v>0.75</v>
      </c>
      <c r="D8" s="3">
        <f t="shared" si="0"/>
        <v>0.33333333333333298</v>
      </c>
      <c r="F8" s="13"/>
    </row>
    <row r="9" spans="1:11" ht="60" customHeight="1" x14ac:dyDescent="0.35">
      <c r="A9" s="10">
        <v>46275</v>
      </c>
      <c r="B9" s="3">
        <v>0.41666666666666702</v>
      </c>
      <c r="C9" s="3">
        <v>0.75</v>
      </c>
      <c r="D9" s="3">
        <f t="shared" si="0"/>
        <v>0.33333333333333298</v>
      </c>
      <c r="F9" s="13"/>
    </row>
    <row r="10" spans="1:11" ht="60" customHeight="1" x14ac:dyDescent="0.35">
      <c r="A10" s="10">
        <v>46276</v>
      </c>
      <c r="B10" s="3">
        <v>0.41666666666666702</v>
      </c>
      <c r="C10" s="3">
        <v>0.70833333333333337</v>
      </c>
      <c r="D10" s="3">
        <f t="shared" si="0"/>
        <v>0.29166666666666635</v>
      </c>
      <c r="F10" s="13"/>
    </row>
    <row r="11" spans="1:11" ht="60" customHeight="1" x14ac:dyDescent="0.35">
      <c r="A11" s="10">
        <v>46279</v>
      </c>
      <c r="B11" s="3">
        <v>0.41666666666666702</v>
      </c>
      <c r="C11" s="3">
        <v>0.75</v>
      </c>
      <c r="D11" s="3">
        <f t="shared" si="0"/>
        <v>0.33333333333333298</v>
      </c>
      <c r="F11" s="13"/>
      <c r="J11" s="4"/>
    </row>
    <row r="12" spans="1:11" s="2" customFormat="1" ht="60" customHeight="1" x14ac:dyDescent="0.35">
      <c r="A12" s="10">
        <v>46280</v>
      </c>
      <c r="B12" s="3">
        <v>0.41666666666666702</v>
      </c>
      <c r="C12" s="3">
        <v>0.75</v>
      </c>
      <c r="D12" s="3">
        <f t="shared" si="0"/>
        <v>0.33333333333333298</v>
      </c>
      <c r="E12" s="4"/>
      <c r="F12" s="13"/>
      <c r="G12"/>
      <c r="H12" s="4"/>
      <c r="I12" s="4"/>
      <c r="J12" s="4"/>
      <c r="K12"/>
    </row>
    <row r="13" spans="1:11" s="2" customFormat="1" ht="60" customHeight="1" x14ac:dyDescent="0.35">
      <c r="A13" s="10">
        <v>46281</v>
      </c>
      <c r="B13" s="3">
        <v>0.41666666666666702</v>
      </c>
      <c r="C13" s="3">
        <v>0.75</v>
      </c>
      <c r="D13" s="3">
        <f t="shared" si="0"/>
        <v>0.33333333333333298</v>
      </c>
      <c r="E13" s="4"/>
      <c r="F13" s="13"/>
      <c r="G13"/>
      <c r="H13" s="4"/>
      <c r="I13" s="4"/>
      <c r="J13" s="4"/>
      <c r="K13"/>
    </row>
    <row r="14" spans="1:11" s="2" customFormat="1" ht="60" customHeight="1" x14ac:dyDescent="0.35">
      <c r="A14" s="10">
        <v>46282</v>
      </c>
      <c r="B14" s="3">
        <v>0.41666666666666702</v>
      </c>
      <c r="C14" s="3">
        <v>0.75</v>
      </c>
      <c r="D14" s="3">
        <f t="shared" si="0"/>
        <v>0.33333333333333298</v>
      </c>
      <c r="E14" s="4"/>
      <c r="F14" s="13"/>
      <c r="G14"/>
      <c r="H14" s="4"/>
    </row>
    <row r="15" spans="1:11" s="2" customFormat="1" ht="60" customHeight="1" x14ac:dyDescent="0.35">
      <c r="A15" s="10">
        <v>46283</v>
      </c>
      <c r="B15" s="3">
        <v>0.41666666666666702</v>
      </c>
      <c r="C15" s="3">
        <v>0.70833333333333337</v>
      </c>
      <c r="D15" s="3">
        <f t="shared" si="0"/>
        <v>0.29166666666666635</v>
      </c>
      <c r="E15" s="4"/>
      <c r="F15" s="13"/>
      <c r="G15"/>
      <c r="H15" s="4"/>
      <c r="I15" s="4"/>
    </row>
    <row r="16" spans="1:11" ht="60" customHeight="1" x14ac:dyDescent="0.35">
      <c r="A16" s="10">
        <v>46286</v>
      </c>
      <c r="B16" s="3">
        <v>0.41666666666666702</v>
      </c>
      <c r="C16" s="3">
        <v>0.75</v>
      </c>
      <c r="D16" s="3">
        <f t="shared" si="0"/>
        <v>0.33333333333333298</v>
      </c>
      <c r="F16" s="13"/>
    </row>
    <row r="17" spans="1:6" ht="60" customHeight="1" x14ac:dyDescent="0.35">
      <c r="A17" s="10">
        <v>46287</v>
      </c>
      <c r="B17" s="3">
        <v>0.41666666666666702</v>
      </c>
      <c r="C17" s="3">
        <v>0.75</v>
      </c>
      <c r="D17" s="3">
        <f t="shared" si="0"/>
        <v>0.33333333333333298</v>
      </c>
      <c r="F17" s="13"/>
    </row>
    <row r="18" spans="1:6" ht="60" customHeight="1" x14ac:dyDescent="0.35">
      <c r="A18" s="10">
        <v>46288</v>
      </c>
      <c r="B18" s="3">
        <v>0.41666666666666702</v>
      </c>
      <c r="C18" s="3">
        <v>0.75</v>
      </c>
      <c r="D18" s="3">
        <f t="shared" si="0"/>
        <v>0.33333333333333298</v>
      </c>
      <c r="F18" s="13"/>
    </row>
    <row r="19" spans="1:6" ht="60" customHeight="1" x14ac:dyDescent="0.35">
      <c r="A19" s="10">
        <v>46289</v>
      </c>
      <c r="B19" s="3">
        <v>0.41666666666666702</v>
      </c>
      <c r="C19" s="3">
        <v>0.75</v>
      </c>
      <c r="D19" s="3">
        <f t="shared" si="0"/>
        <v>0.33333333333333298</v>
      </c>
      <c r="F19" s="13"/>
    </row>
    <row r="20" spans="1:6" ht="60" customHeight="1" x14ac:dyDescent="0.35">
      <c r="A20" s="10">
        <v>46290</v>
      </c>
      <c r="B20" s="3">
        <v>0.41666666666666702</v>
      </c>
      <c r="C20" s="3">
        <v>0.70833333333333337</v>
      </c>
      <c r="D20" s="3">
        <f t="shared" si="0"/>
        <v>0.29166666666666635</v>
      </c>
      <c r="F20" s="22"/>
    </row>
    <row r="21" spans="1:6" ht="60" customHeight="1" x14ac:dyDescent="0.35">
      <c r="A21" s="10">
        <v>46293</v>
      </c>
      <c r="B21" s="3">
        <v>0.41666666666666702</v>
      </c>
      <c r="C21" s="3">
        <v>0.75</v>
      </c>
      <c r="D21" s="3">
        <f t="shared" si="0"/>
        <v>0.33333333333333298</v>
      </c>
      <c r="F21" s="22"/>
    </row>
    <row r="22" spans="1:6" ht="60" customHeight="1" x14ac:dyDescent="0.35">
      <c r="A22" s="10">
        <v>46294</v>
      </c>
      <c r="B22" s="3">
        <v>0.41666666666666702</v>
      </c>
      <c r="C22" s="3">
        <v>0.75</v>
      </c>
      <c r="D22" s="3">
        <f t="shared" si="0"/>
        <v>0.33333333333333298</v>
      </c>
      <c r="F22" s="22"/>
    </row>
    <row r="23" spans="1:6" ht="60" customHeight="1" x14ac:dyDescent="0.35">
      <c r="A23" s="10">
        <v>46295</v>
      </c>
      <c r="B23" s="3">
        <v>0.41666666666666702</v>
      </c>
      <c r="C23" s="3">
        <v>0.75</v>
      </c>
      <c r="D23" s="3">
        <f t="shared" ref="D23" si="1">C23-B23</f>
        <v>0.33333333333333298</v>
      </c>
      <c r="F23" s="22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CFC6-9160-48DE-BC68-6B3F09996EFA}">
  <dimension ref="A1:K23"/>
  <sheetViews>
    <sheetView topLeftCell="E1" workbookViewId="0">
      <selection activeCell="N7" sqref="N7"/>
    </sheetView>
  </sheetViews>
  <sheetFormatPr defaultRowHeight="14.5" x14ac:dyDescent="0.35"/>
  <cols>
    <col min="1" max="1" width="36.453125" style="10" customWidth="1"/>
    <col min="2" max="2" width="12" style="4" customWidth="1"/>
    <col min="3" max="3" width="9.7265625" style="4" customWidth="1"/>
    <col min="4" max="4" width="10.54296875" style="4" customWidth="1"/>
    <col min="5" max="5" width="11.7265625" style="4" customWidth="1"/>
    <col min="6" max="6" width="97.26953125" style="4" customWidth="1"/>
    <col min="8" max="8" width="13.54296875" style="4" customWidth="1"/>
    <col min="9" max="9" width="31.81640625" style="4" customWidth="1"/>
  </cols>
  <sheetData>
    <row r="1" spans="1:11" s="1" customFormat="1" x14ac:dyDescent="0.35">
      <c r="A1" s="1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5" t="s">
        <v>6</v>
      </c>
      <c r="I1" s="6" t="s">
        <v>7</v>
      </c>
    </row>
    <row r="2" spans="1:11" ht="60" customHeight="1" x14ac:dyDescent="0.35">
      <c r="A2" s="10">
        <v>46296</v>
      </c>
      <c r="B2" s="3">
        <v>0.41666666666666669</v>
      </c>
      <c r="C2" s="3">
        <v>0.75</v>
      </c>
      <c r="D2" s="3">
        <f t="shared" ref="D2:D23" si="0">C2-B2</f>
        <v>0.33333333333333331</v>
      </c>
      <c r="F2" s="13"/>
      <c r="H2" s="4">
        <f>COUNTIF(E:E, "=Worked")</f>
        <v>0</v>
      </c>
      <c r="I2" s="8">
        <f>SUMIF(E:E, "=Worked", D:D)</f>
        <v>0</v>
      </c>
    </row>
    <row r="3" spans="1:11" s="11" customFormat="1" ht="60" customHeight="1" x14ac:dyDescent="0.35">
      <c r="A3" s="10">
        <v>46297</v>
      </c>
      <c r="B3" s="3">
        <v>0.41666666666666669</v>
      </c>
      <c r="C3" s="3">
        <v>0.70833333333333337</v>
      </c>
      <c r="D3" s="3">
        <f t="shared" si="0"/>
        <v>0.29166666666666669</v>
      </c>
      <c r="E3" s="4"/>
      <c r="F3" s="13"/>
      <c r="H3" s="4"/>
      <c r="I3" s="4"/>
    </row>
    <row r="4" spans="1:11" ht="60" customHeight="1" x14ac:dyDescent="0.35">
      <c r="A4" s="10">
        <v>46300</v>
      </c>
      <c r="B4" s="3">
        <v>0.41666666666666702</v>
      </c>
      <c r="C4" s="3">
        <v>0.75</v>
      </c>
      <c r="D4" s="3">
        <f t="shared" si="0"/>
        <v>0.33333333333333298</v>
      </c>
      <c r="F4" s="13"/>
      <c r="H4" s="5" t="s">
        <v>13</v>
      </c>
      <c r="I4" s="19" t="s">
        <v>14</v>
      </c>
    </row>
    <row r="5" spans="1:11" ht="60" customHeight="1" x14ac:dyDescent="0.35">
      <c r="A5" s="10">
        <v>46301</v>
      </c>
      <c r="B5" s="3">
        <v>0.41666666666666702</v>
      </c>
      <c r="C5" s="3">
        <v>0.75</v>
      </c>
      <c r="D5" s="3">
        <f t="shared" si="0"/>
        <v>0.33333333333333298</v>
      </c>
      <c r="F5" s="13"/>
      <c r="H5" s="4">
        <f>COUNTIF(E:E, "=Vacation")+ COUNTIF(E:E, "=Holiday")</f>
        <v>1</v>
      </c>
      <c r="I5" s="21">
        <f ca="1">'September 26'!I5-SUMIF(E:E, "=Worked", D1:D23)</f>
        <v>53.666666666666686</v>
      </c>
    </row>
    <row r="6" spans="1:11" ht="60" customHeight="1" x14ac:dyDescent="0.35">
      <c r="A6" s="10">
        <v>46302</v>
      </c>
      <c r="B6" s="3">
        <v>0.41666666666666702</v>
      </c>
      <c r="C6" s="3">
        <v>0.75</v>
      </c>
      <c r="D6" s="3">
        <f t="shared" si="0"/>
        <v>0.33333333333333298</v>
      </c>
      <c r="F6" s="13"/>
    </row>
    <row r="7" spans="1:11" ht="60" customHeight="1" x14ac:dyDescent="0.35">
      <c r="A7" s="10">
        <v>46303</v>
      </c>
      <c r="B7" s="3">
        <v>0.41666666666666702</v>
      </c>
      <c r="C7" s="3">
        <v>0.75</v>
      </c>
      <c r="D7" s="3">
        <f t="shared" si="0"/>
        <v>0.33333333333333298</v>
      </c>
      <c r="F7" s="22"/>
    </row>
    <row r="8" spans="1:11" ht="60" customHeight="1" x14ac:dyDescent="0.35">
      <c r="A8" s="10">
        <v>46304</v>
      </c>
      <c r="B8" s="3">
        <v>0.41666666666666702</v>
      </c>
      <c r="C8" s="3">
        <v>0.70833333333333337</v>
      </c>
      <c r="D8" s="3">
        <f t="shared" si="0"/>
        <v>0.29166666666666635</v>
      </c>
      <c r="F8" s="13"/>
    </row>
    <row r="9" spans="1:11" ht="60" customHeight="1" x14ac:dyDescent="0.35">
      <c r="A9" s="14">
        <v>46307</v>
      </c>
      <c r="B9" s="15">
        <v>0.41666666666666702</v>
      </c>
      <c r="C9" s="15">
        <v>0.75</v>
      </c>
      <c r="D9" s="15">
        <f t="shared" si="0"/>
        <v>0.33333333333333298</v>
      </c>
      <c r="E9" s="16" t="s">
        <v>10</v>
      </c>
      <c r="F9" s="17" t="s">
        <v>21</v>
      </c>
    </row>
    <row r="10" spans="1:11" ht="60" customHeight="1" x14ac:dyDescent="0.35">
      <c r="A10" s="10">
        <v>46308</v>
      </c>
      <c r="B10" s="3">
        <v>0.41666666666666702</v>
      </c>
      <c r="C10" s="3">
        <v>0.75</v>
      </c>
      <c r="D10" s="3">
        <f t="shared" si="0"/>
        <v>0.33333333333333298</v>
      </c>
      <c r="F10" s="13"/>
    </row>
    <row r="11" spans="1:11" ht="60" customHeight="1" x14ac:dyDescent="0.35">
      <c r="A11" s="10">
        <v>46309</v>
      </c>
      <c r="B11" s="3">
        <v>0.41666666666666702</v>
      </c>
      <c r="C11" s="3">
        <v>0.75</v>
      </c>
      <c r="D11" s="3">
        <f t="shared" si="0"/>
        <v>0.33333333333333298</v>
      </c>
      <c r="F11" s="13"/>
      <c r="J11" s="4"/>
    </row>
    <row r="12" spans="1:11" s="2" customFormat="1" ht="60" customHeight="1" x14ac:dyDescent="0.35">
      <c r="A12" s="10">
        <v>46310</v>
      </c>
      <c r="B12" s="3">
        <v>0.41666666666666702</v>
      </c>
      <c r="C12" s="3">
        <v>0.75</v>
      </c>
      <c r="D12" s="3">
        <f t="shared" si="0"/>
        <v>0.33333333333333298</v>
      </c>
      <c r="E12" s="4"/>
      <c r="F12" s="13"/>
      <c r="G12"/>
      <c r="H12" s="4"/>
      <c r="I12" s="4"/>
      <c r="J12" s="4"/>
      <c r="K12"/>
    </row>
    <row r="13" spans="1:11" s="2" customFormat="1" ht="60" customHeight="1" x14ac:dyDescent="0.35">
      <c r="A13" s="10">
        <v>46311</v>
      </c>
      <c r="B13" s="3">
        <v>0.41666666666666702</v>
      </c>
      <c r="C13" s="3">
        <v>0.70833333333333337</v>
      </c>
      <c r="D13" s="3">
        <f t="shared" si="0"/>
        <v>0.29166666666666635</v>
      </c>
      <c r="E13" s="4"/>
      <c r="F13" s="13"/>
      <c r="G13"/>
      <c r="H13" s="4"/>
      <c r="I13" s="4"/>
      <c r="J13" s="4"/>
      <c r="K13"/>
    </row>
    <row r="14" spans="1:11" s="2" customFormat="1" ht="60" customHeight="1" x14ac:dyDescent="0.35">
      <c r="A14" s="10">
        <v>46314</v>
      </c>
      <c r="B14" s="3">
        <v>0.41666666666666702</v>
      </c>
      <c r="C14" s="3">
        <v>0.75</v>
      </c>
      <c r="D14" s="3">
        <f t="shared" si="0"/>
        <v>0.33333333333333298</v>
      </c>
      <c r="E14" s="4"/>
      <c r="F14" s="13"/>
      <c r="G14"/>
      <c r="H14" s="4"/>
    </row>
    <row r="15" spans="1:11" s="2" customFormat="1" ht="60" customHeight="1" x14ac:dyDescent="0.35">
      <c r="A15" s="10">
        <v>46315</v>
      </c>
      <c r="B15" s="3">
        <v>0.41666666666666702</v>
      </c>
      <c r="C15" s="3">
        <v>0.75</v>
      </c>
      <c r="D15" s="3">
        <f t="shared" si="0"/>
        <v>0.33333333333333298</v>
      </c>
      <c r="E15" s="4"/>
      <c r="F15" s="13"/>
      <c r="G15"/>
      <c r="H15" s="4"/>
      <c r="I15" s="4"/>
    </row>
    <row r="16" spans="1:11" ht="60" customHeight="1" x14ac:dyDescent="0.35">
      <c r="A16" s="10">
        <v>46316</v>
      </c>
      <c r="B16" s="3">
        <v>0.41666666666666702</v>
      </c>
      <c r="C16" s="3">
        <v>0.75</v>
      </c>
      <c r="D16" s="3">
        <f t="shared" si="0"/>
        <v>0.33333333333333298</v>
      </c>
      <c r="F16" s="13"/>
    </row>
    <row r="17" spans="1:6" ht="60" customHeight="1" x14ac:dyDescent="0.35">
      <c r="A17" s="10">
        <v>46317</v>
      </c>
      <c r="B17" s="3">
        <v>0.41666666666666702</v>
      </c>
      <c r="C17" s="3">
        <v>0.75</v>
      </c>
      <c r="D17" s="3">
        <f t="shared" si="0"/>
        <v>0.33333333333333298</v>
      </c>
      <c r="F17" s="13"/>
    </row>
    <row r="18" spans="1:6" ht="60" customHeight="1" x14ac:dyDescent="0.35">
      <c r="A18" s="10">
        <v>46318</v>
      </c>
      <c r="B18" s="3">
        <v>0.41666666666666702</v>
      </c>
      <c r="C18" s="3">
        <v>0.70833333333333337</v>
      </c>
      <c r="D18" s="3">
        <f t="shared" si="0"/>
        <v>0.29166666666666635</v>
      </c>
      <c r="F18" s="13"/>
    </row>
    <row r="19" spans="1:6" ht="60" customHeight="1" x14ac:dyDescent="0.35">
      <c r="A19" s="10">
        <v>46321</v>
      </c>
      <c r="B19" s="3">
        <v>0.41666666666666702</v>
      </c>
      <c r="C19" s="3">
        <v>0.75</v>
      </c>
      <c r="D19" s="3">
        <f t="shared" si="0"/>
        <v>0.33333333333333298</v>
      </c>
      <c r="F19" s="13"/>
    </row>
    <row r="20" spans="1:6" ht="60" customHeight="1" x14ac:dyDescent="0.35">
      <c r="A20" s="10">
        <v>46322</v>
      </c>
      <c r="B20" s="3">
        <v>0.41666666666666702</v>
      </c>
      <c r="C20" s="3">
        <v>0.75</v>
      </c>
      <c r="D20" s="3">
        <f t="shared" si="0"/>
        <v>0.33333333333333298</v>
      </c>
      <c r="F20" s="22"/>
    </row>
    <row r="21" spans="1:6" ht="60" customHeight="1" x14ac:dyDescent="0.35">
      <c r="A21" s="10">
        <v>46323</v>
      </c>
      <c r="B21" s="3">
        <v>0.41666666666666702</v>
      </c>
      <c r="C21" s="3">
        <v>0.75</v>
      </c>
      <c r="D21" s="3">
        <f t="shared" si="0"/>
        <v>0.33333333333333298</v>
      </c>
      <c r="F21" s="22"/>
    </row>
    <row r="22" spans="1:6" ht="60" customHeight="1" x14ac:dyDescent="0.35">
      <c r="A22" s="10">
        <v>46324</v>
      </c>
      <c r="B22" s="3">
        <v>0.41666666666666702</v>
      </c>
      <c r="C22" s="3">
        <v>0.75</v>
      </c>
      <c r="D22" s="3">
        <f t="shared" si="0"/>
        <v>0.33333333333333298</v>
      </c>
      <c r="F22" s="22"/>
    </row>
    <row r="23" spans="1:6" ht="60" customHeight="1" x14ac:dyDescent="0.35">
      <c r="A23" s="10">
        <v>46325</v>
      </c>
      <c r="B23" s="3">
        <v>0.41666666666666702</v>
      </c>
      <c r="C23" s="3">
        <v>0.70833333333333337</v>
      </c>
      <c r="D23" s="3">
        <f t="shared" si="0"/>
        <v>0.29166666666666635</v>
      </c>
      <c r="F23" s="2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F780-C968-4F86-A49F-20C03A631236}">
  <dimension ref="A1:K22"/>
  <sheetViews>
    <sheetView workbookViewId="0">
      <selection activeCell="J11" sqref="J11:K13"/>
    </sheetView>
  </sheetViews>
  <sheetFormatPr defaultRowHeight="14.5" x14ac:dyDescent="0.35"/>
  <cols>
    <col min="1" max="1" width="36.453125" style="10" customWidth="1"/>
    <col min="2" max="2" width="12" style="4" customWidth="1"/>
    <col min="3" max="3" width="9.7265625" style="4" customWidth="1"/>
    <col min="4" max="4" width="10.54296875" style="4" customWidth="1"/>
    <col min="5" max="5" width="11.7265625" style="4" customWidth="1"/>
    <col min="6" max="6" width="97.26953125" style="4" customWidth="1"/>
    <col min="8" max="8" width="13.54296875" style="4" customWidth="1"/>
    <col min="9" max="9" width="31.81640625" style="4" customWidth="1"/>
  </cols>
  <sheetData>
    <row r="1" spans="1:11" s="1" customFormat="1" x14ac:dyDescent="0.35">
      <c r="A1" s="1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5" t="s">
        <v>6</v>
      </c>
      <c r="I1" s="6" t="s">
        <v>7</v>
      </c>
    </row>
    <row r="2" spans="1:11" ht="60" customHeight="1" x14ac:dyDescent="0.35">
      <c r="A2" s="14">
        <v>46328</v>
      </c>
      <c r="B2" s="15">
        <v>0.41666666666666669</v>
      </c>
      <c r="C2" s="15">
        <v>0.75</v>
      </c>
      <c r="D2" s="15">
        <f t="shared" ref="D2:D22" si="0">C2-B2</f>
        <v>0.33333333333333331</v>
      </c>
      <c r="E2" s="16" t="s">
        <v>10</v>
      </c>
      <c r="F2" s="17" t="s">
        <v>22</v>
      </c>
      <c r="H2" s="4">
        <f>COUNTIF(E:E, "=Worked")</f>
        <v>0</v>
      </c>
      <c r="I2" s="8">
        <f>SUMIF(E:E, "=Worked", D:D)</f>
        <v>0</v>
      </c>
    </row>
    <row r="3" spans="1:11" s="11" customFormat="1" ht="60" customHeight="1" x14ac:dyDescent="0.35">
      <c r="A3" s="10">
        <v>46329</v>
      </c>
      <c r="B3" s="3">
        <v>0.41666666666666669</v>
      </c>
      <c r="C3" s="3">
        <v>0.75</v>
      </c>
      <c r="D3" s="3">
        <f t="shared" si="0"/>
        <v>0.33333333333333331</v>
      </c>
      <c r="E3" s="4"/>
      <c r="F3" s="13"/>
      <c r="H3" s="4"/>
      <c r="I3" s="4"/>
    </row>
    <row r="4" spans="1:11" ht="60" customHeight="1" x14ac:dyDescent="0.35">
      <c r="A4" s="10">
        <v>46330</v>
      </c>
      <c r="B4" s="3">
        <v>0.41666666666666702</v>
      </c>
      <c r="C4" s="3">
        <v>0.75</v>
      </c>
      <c r="D4" s="3">
        <f t="shared" si="0"/>
        <v>0.33333333333333298</v>
      </c>
      <c r="F4" s="13"/>
      <c r="H4" s="5" t="s">
        <v>13</v>
      </c>
      <c r="I4" s="19" t="s">
        <v>14</v>
      </c>
    </row>
    <row r="5" spans="1:11" ht="60" customHeight="1" x14ac:dyDescent="0.35">
      <c r="A5" s="10">
        <v>46331</v>
      </c>
      <c r="B5" s="3">
        <v>0.41666666666666702</v>
      </c>
      <c r="C5" s="3">
        <v>0.75</v>
      </c>
      <c r="D5" s="3">
        <f t="shared" si="0"/>
        <v>0.33333333333333298</v>
      </c>
      <c r="F5" s="13"/>
      <c r="H5" s="4">
        <f>COUNTIF(E:E, "=Vacation")+ COUNTIF(E:E, "=Holiday")</f>
        <v>1</v>
      </c>
      <c r="I5" s="21">
        <f ca="1">'October 26'!I5-SUMIF(E:E, "=Worked", D1:D22)</f>
        <v>53.666666666666686</v>
      </c>
    </row>
    <row r="6" spans="1:11" ht="60" customHeight="1" x14ac:dyDescent="0.35">
      <c r="A6" s="10">
        <v>46332</v>
      </c>
      <c r="B6" s="3">
        <v>0.41666666666666702</v>
      </c>
      <c r="C6" s="3">
        <v>0.70833333333333337</v>
      </c>
      <c r="D6" s="3">
        <f t="shared" si="0"/>
        <v>0.29166666666666635</v>
      </c>
      <c r="F6" s="13"/>
    </row>
    <row r="7" spans="1:11" ht="60" customHeight="1" x14ac:dyDescent="0.35">
      <c r="A7" s="10">
        <v>46335</v>
      </c>
      <c r="B7" s="3">
        <v>0.41666666666666702</v>
      </c>
      <c r="C7" s="3">
        <v>0.75</v>
      </c>
      <c r="D7" s="3">
        <f t="shared" si="0"/>
        <v>0.33333333333333298</v>
      </c>
      <c r="F7" s="22"/>
    </row>
    <row r="8" spans="1:11" ht="60" customHeight="1" x14ac:dyDescent="0.35">
      <c r="A8" s="10">
        <v>46336</v>
      </c>
      <c r="B8" s="3">
        <v>0.41666666666666702</v>
      </c>
      <c r="C8" s="3">
        <v>0.75</v>
      </c>
      <c r="D8" s="3">
        <f t="shared" si="0"/>
        <v>0.33333333333333298</v>
      </c>
      <c r="F8" s="13"/>
    </row>
    <row r="9" spans="1:11" ht="60" customHeight="1" x14ac:dyDescent="0.35">
      <c r="A9" s="10">
        <v>46337</v>
      </c>
      <c r="B9" s="3">
        <v>0.41666666666666702</v>
      </c>
      <c r="C9" s="3">
        <v>0.75</v>
      </c>
      <c r="D9" s="3">
        <f t="shared" si="0"/>
        <v>0.33333333333333298</v>
      </c>
      <c r="F9" s="13"/>
    </row>
    <row r="10" spans="1:11" ht="60" customHeight="1" x14ac:dyDescent="0.35">
      <c r="A10" s="10">
        <v>46338</v>
      </c>
      <c r="B10" s="3">
        <v>0.41666666666666702</v>
      </c>
      <c r="C10" s="3">
        <v>0.75</v>
      </c>
      <c r="D10" s="3">
        <f t="shared" si="0"/>
        <v>0.33333333333333298</v>
      </c>
      <c r="F10" s="13"/>
    </row>
    <row r="11" spans="1:11" ht="60" customHeight="1" x14ac:dyDescent="0.35">
      <c r="A11" s="10">
        <v>46339</v>
      </c>
      <c r="B11" s="3">
        <v>0.41666666666666702</v>
      </c>
      <c r="C11" s="3">
        <v>0.70833333333333337</v>
      </c>
      <c r="D11" s="3">
        <f t="shared" si="0"/>
        <v>0.29166666666666635</v>
      </c>
      <c r="F11" s="13"/>
      <c r="J11" s="4"/>
    </row>
    <row r="12" spans="1:11" s="2" customFormat="1" ht="60" customHeight="1" x14ac:dyDescent="0.35">
      <c r="A12" s="10">
        <v>46342</v>
      </c>
      <c r="B12" s="3">
        <v>0.41666666666666702</v>
      </c>
      <c r="C12" s="3">
        <v>0.75</v>
      </c>
      <c r="D12" s="3">
        <f t="shared" si="0"/>
        <v>0.33333333333333298</v>
      </c>
      <c r="E12" s="4"/>
      <c r="F12" s="13"/>
      <c r="G12"/>
      <c r="H12" s="4"/>
      <c r="I12" s="4"/>
      <c r="J12" s="4"/>
      <c r="K12"/>
    </row>
    <row r="13" spans="1:11" s="2" customFormat="1" ht="60" customHeight="1" x14ac:dyDescent="0.35">
      <c r="A13" s="10">
        <v>46343</v>
      </c>
      <c r="B13" s="3">
        <v>0.41666666666666702</v>
      </c>
      <c r="C13" s="3">
        <v>0.75</v>
      </c>
      <c r="D13" s="3">
        <f t="shared" si="0"/>
        <v>0.33333333333333298</v>
      </c>
      <c r="E13" s="4"/>
      <c r="F13" s="13"/>
      <c r="G13"/>
      <c r="H13" s="4"/>
      <c r="I13" s="4"/>
      <c r="J13" s="4"/>
      <c r="K13"/>
    </row>
    <row r="14" spans="1:11" s="2" customFormat="1" ht="60" customHeight="1" x14ac:dyDescent="0.35">
      <c r="A14" s="10">
        <v>46344</v>
      </c>
      <c r="B14" s="3">
        <v>0.41666666666666702</v>
      </c>
      <c r="C14" s="3">
        <v>0.75</v>
      </c>
      <c r="D14" s="3">
        <f t="shared" si="0"/>
        <v>0.33333333333333298</v>
      </c>
      <c r="E14" s="4"/>
      <c r="F14" s="13"/>
      <c r="G14"/>
      <c r="H14" s="4"/>
    </row>
    <row r="15" spans="1:11" s="2" customFormat="1" ht="60" customHeight="1" x14ac:dyDescent="0.35">
      <c r="A15" s="10">
        <v>46345</v>
      </c>
      <c r="B15" s="3">
        <v>0.41666666666666702</v>
      </c>
      <c r="C15" s="3">
        <v>0.75</v>
      </c>
      <c r="D15" s="3">
        <f t="shared" si="0"/>
        <v>0.33333333333333298</v>
      </c>
      <c r="E15" s="4"/>
      <c r="F15" s="13"/>
      <c r="G15"/>
      <c r="H15" s="4"/>
      <c r="I15" s="4"/>
    </row>
    <row r="16" spans="1:11" ht="60" customHeight="1" x14ac:dyDescent="0.35">
      <c r="A16" s="10">
        <v>46346</v>
      </c>
      <c r="B16" s="3">
        <v>0.41666666666666702</v>
      </c>
      <c r="C16" s="3">
        <v>0.70833333333333337</v>
      </c>
      <c r="D16" s="3">
        <f t="shared" si="0"/>
        <v>0.29166666666666635</v>
      </c>
      <c r="F16" s="13"/>
    </row>
    <row r="17" spans="1:6" ht="60" customHeight="1" x14ac:dyDescent="0.35">
      <c r="A17" s="10">
        <v>46349</v>
      </c>
      <c r="B17" s="3">
        <v>0.41666666666666702</v>
      </c>
      <c r="C17" s="3">
        <v>0.75</v>
      </c>
      <c r="D17" s="3">
        <f t="shared" si="0"/>
        <v>0.33333333333333298</v>
      </c>
      <c r="F17" s="13"/>
    </row>
    <row r="18" spans="1:6" ht="60" customHeight="1" x14ac:dyDescent="0.35">
      <c r="A18" s="10">
        <v>46350</v>
      </c>
      <c r="B18" s="3">
        <v>0.41666666666666702</v>
      </c>
      <c r="C18" s="3">
        <v>0.75</v>
      </c>
      <c r="D18" s="3">
        <f t="shared" si="0"/>
        <v>0.33333333333333298</v>
      </c>
      <c r="F18" s="13"/>
    </row>
    <row r="19" spans="1:6" ht="60" customHeight="1" x14ac:dyDescent="0.35">
      <c r="A19" s="10">
        <v>46351</v>
      </c>
      <c r="B19" s="3">
        <v>0.41666666666666702</v>
      </c>
      <c r="C19" s="3">
        <v>0.75</v>
      </c>
      <c r="D19" s="3">
        <f t="shared" si="0"/>
        <v>0.33333333333333298</v>
      </c>
      <c r="F19" s="13"/>
    </row>
    <row r="20" spans="1:6" ht="60" customHeight="1" x14ac:dyDescent="0.35">
      <c r="A20" s="10">
        <v>46352</v>
      </c>
      <c r="B20" s="3">
        <v>0.41666666666666702</v>
      </c>
      <c r="C20" s="3">
        <v>0.75</v>
      </c>
      <c r="D20" s="3">
        <f t="shared" si="0"/>
        <v>0.33333333333333298</v>
      </c>
      <c r="F20" s="22"/>
    </row>
    <row r="21" spans="1:6" ht="60" customHeight="1" x14ac:dyDescent="0.35">
      <c r="A21" s="10">
        <v>46353</v>
      </c>
      <c r="B21" s="3">
        <v>0.41666666666666702</v>
      </c>
      <c r="C21" s="3">
        <v>0.70833333333333337</v>
      </c>
      <c r="D21" s="3">
        <f t="shared" si="0"/>
        <v>0.29166666666666635</v>
      </c>
      <c r="F21" s="22"/>
    </row>
    <row r="22" spans="1:6" ht="60" customHeight="1" x14ac:dyDescent="0.35">
      <c r="A22" s="10">
        <v>46356</v>
      </c>
      <c r="B22" s="3">
        <v>0.41666666666666702</v>
      </c>
      <c r="C22" s="3">
        <v>0.75</v>
      </c>
      <c r="D22" s="3">
        <f t="shared" si="0"/>
        <v>0.33333333333333298</v>
      </c>
      <c r="F22" s="22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B020-0119-48B4-A7DF-65D673E81920}">
  <dimension ref="A1:K24"/>
  <sheetViews>
    <sheetView workbookViewId="0">
      <selection activeCell="E2" sqref="E2:E5"/>
    </sheetView>
  </sheetViews>
  <sheetFormatPr defaultRowHeight="14.5" x14ac:dyDescent="0.35"/>
  <cols>
    <col min="1" max="1" width="36.453125" style="10" customWidth="1"/>
    <col min="2" max="2" width="12" style="4" customWidth="1"/>
    <col min="3" max="3" width="9.7265625" style="4" customWidth="1"/>
    <col min="4" max="4" width="10.54296875" style="4" customWidth="1"/>
    <col min="5" max="5" width="11.7265625" style="4" customWidth="1"/>
    <col min="6" max="6" width="97.26953125" style="4" customWidth="1"/>
    <col min="8" max="8" width="13.54296875" style="4" customWidth="1"/>
    <col min="9" max="9" width="31.81640625" style="4" customWidth="1"/>
  </cols>
  <sheetData>
    <row r="1" spans="1:11" s="1" customFormat="1" x14ac:dyDescent="0.35">
      <c r="A1" s="1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5" t="s">
        <v>6</v>
      </c>
      <c r="I1" s="6" t="s">
        <v>7</v>
      </c>
    </row>
    <row r="2" spans="1:11" ht="60" customHeight="1" x14ac:dyDescent="0.35">
      <c r="A2" s="10">
        <v>46357</v>
      </c>
      <c r="B2" s="3">
        <v>0.41666666666666669</v>
      </c>
      <c r="C2" s="3">
        <v>0.75</v>
      </c>
      <c r="D2" s="3">
        <f t="shared" ref="D2:D22" si="0">C2-B2</f>
        <v>0.33333333333333331</v>
      </c>
      <c r="F2" s="13"/>
      <c r="H2" s="4">
        <f>COUNTIF(E:E, "=Worked")</f>
        <v>0</v>
      </c>
      <c r="I2" s="8">
        <f>SUMIF(E:E, "=Worked", D:D)</f>
        <v>0</v>
      </c>
    </row>
    <row r="3" spans="1:11" s="11" customFormat="1" ht="60" customHeight="1" x14ac:dyDescent="0.35">
      <c r="A3" s="10">
        <v>46358</v>
      </c>
      <c r="B3" s="3">
        <v>0.41666666666666669</v>
      </c>
      <c r="C3" s="3">
        <v>0.75</v>
      </c>
      <c r="D3" s="3">
        <f t="shared" si="0"/>
        <v>0.33333333333333331</v>
      </c>
      <c r="E3" s="4"/>
      <c r="F3" s="13"/>
      <c r="H3" s="4"/>
      <c r="I3" s="4"/>
    </row>
    <row r="4" spans="1:11" ht="60" customHeight="1" x14ac:dyDescent="0.35">
      <c r="A4" s="10">
        <v>46359</v>
      </c>
      <c r="B4" s="3">
        <v>0.41666666666666702</v>
      </c>
      <c r="C4" s="3">
        <v>0.75</v>
      </c>
      <c r="D4" s="3">
        <f t="shared" si="0"/>
        <v>0.33333333333333298</v>
      </c>
      <c r="F4" s="13"/>
      <c r="H4" s="5" t="s">
        <v>13</v>
      </c>
      <c r="I4" s="19" t="s">
        <v>14</v>
      </c>
    </row>
    <row r="5" spans="1:11" ht="60" customHeight="1" x14ac:dyDescent="0.35">
      <c r="A5" s="10">
        <v>46360</v>
      </c>
      <c r="B5" s="3">
        <v>0.41666666666666702</v>
      </c>
      <c r="C5" s="3">
        <v>0.70833333333333337</v>
      </c>
      <c r="D5" s="3">
        <f t="shared" si="0"/>
        <v>0.29166666666666635</v>
      </c>
      <c r="F5" s="13"/>
      <c r="H5" s="4">
        <f>COUNTIF(E:E, "=Vacation")+ COUNTIF(E:E, "=Holiday")</f>
        <v>3</v>
      </c>
      <c r="I5" s="21">
        <f ca="1">'November 26'!I5-SUMIF(E:E, "=Worked", D1:D24)</f>
        <v>53.666666666666686</v>
      </c>
    </row>
    <row r="6" spans="1:11" ht="60" customHeight="1" x14ac:dyDescent="0.35">
      <c r="A6" s="14">
        <v>46363</v>
      </c>
      <c r="B6" s="15">
        <v>0.41666666666666702</v>
      </c>
      <c r="C6" s="15">
        <v>0.75</v>
      </c>
      <c r="D6" s="15">
        <f t="shared" si="0"/>
        <v>0.33333333333333298</v>
      </c>
      <c r="E6" s="16" t="s">
        <v>10</v>
      </c>
      <c r="F6" s="17" t="s">
        <v>23</v>
      </c>
    </row>
    <row r="7" spans="1:11" ht="60" customHeight="1" x14ac:dyDescent="0.35">
      <c r="A7" s="14">
        <v>46364</v>
      </c>
      <c r="B7" s="15">
        <v>0.41666666666666702</v>
      </c>
      <c r="C7" s="15">
        <v>0.75</v>
      </c>
      <c r="D7" s="15">
        <f t="shared" si="0"/>
        <v>0.33333333333333298</v>
      </c>
      <c r="E7" s="16" t="s">
        <v>10</v>
      </c>
      <c r="F7" s="17" t="s">
        <v>24</v>
      </c>
    </row>
    <row r="8" spans="1:11" ht="60" customHeight="1" x14ac:dyDescent="0.35">
      <c r="A8" s="10">
        <v>46365</v>
      </c>
      <c r="B8" s="3">
        <v>0.41666666666666702</v>
      </c>
      <c r="C8" s="3">
        <v>0.75</v>
      </c>
      <c r="D8" s="3">
        <f t="shared" si="0"/>
        <v>0.33333333333333298</v>
      </c>
      <c r="F8" s="13"/>
    </row>
    <row r="9" spans="1:11" ht="60" customHeight="1" x14ac:dyDescent="0.35">
      <c r="A9" s="10">
        <v>46366</v>
      </c>
      <c r="B9" s="3">
        <v>0.41666666666666702</v>
      </c>
      <c r="C9" s="3">
        <v>0.75</v>
      </c>
      <c r="D9" s="3">
        <f t="shared" si="0"/>
        <v>0.33333333333333298</v>
      </c>
      <c r="F9" s="13"/>
    </row>
    <row r="10" spans="1:11" ht="60" customHeight="1" x14ac:dyDescent="0.35">
      <c r="A10" s="10">
        <v>46367</v>
      </c>
      <c r="B10" s="3">
        <v>0.41666666666666702</v>
      </c>
      <c r="C10" s="3">
        <v>0.70833333333333337</v>
      </c>
      <c r="D10" s="3">
        <f t="shared" si="0"/>
        <v>0.29166666666666635</v>
      </c>
      <c r="F10" s="13"/>
    </row>
    <row r="11" spans="1:11" ht="60" customHeight="1" x14ac:dyDescent="0.35">
      <c r="A11" s="10">
        <v>46370</v>
      </c>
      <c r="B11" s="3">
        <v>0.41666666666666702</v>
      </c>
      <c r="C11" s="3">
        <v>0.75</v>
      </c>
      <c r="D11" s="3">
        <f t="shared" si="0"/>
        <v>0.33333333333333298</v>
      </c>
      <c r="F11" s="13"/>
      <c r="J11" s="4"/>
    </row>
    <row r="12" spans="1:11" s="2" customFormat="1" ht="60" customHeight="1" x14ac:dyDescent="0.35">
      <c r="A12" s="10">
        <v>46371</v>
      </c>
      <c r="B12" s="3">
        <v>0.41666666666666702</v>
      </c>
      <c r="C12" s="3">
        <v>0.75</v>
      </c>
      <c r="D12" s="3">
        <f t="shared" si="0"/>
        <v>0.33333333333333298</v>
      </c>
      <c r="E12" s="4"/>
      <c r="F12" s="13"/>
      <c r="G12"/>
      <c r="H12" s="4"/>
      <c r="I12" s="4"/>
      <c r="J12" s="4"/>
      <c r="K12"/>
    </row>
    <row r="13" spans="1:11" s="2" customFormat="1" ht="60" customHeight="1" x14ac:dyDescent="0.35">
      <c r="A13" s="10">
        <v>46372</v>
      </c>
      <c r="B13" s="3">
        <v>0.41666666666666702</v>
      </c>
      <c r="C13" s="3">
        <v>0.75</v>
      </c>
      <c r="D13" s="3">
        <f t="shared" si="0"/>
        <v>0.33333333333333298</v>
      </c>
      <c r="E13" s="4"/>
      <c r="F13" s="13"/>
      <c r="G13"/>
      <c r="H13" s="4"/>
      <c r="I13" s="4"/>
      <c r="J13" s="4"/>
      <c r="K13"/>
    </row>
    <row r="14" spans="1:11" s="2" customFormat="1" ht="60" customHeight="1" x14ac:dyDescent="0.35">
      <c r="A14" s="10">
        <v>46373</v>
      </c>
      <c r="B14" s="3">
        <v>0.41666666666666702</v>
      </c>
      <c r="C14" s="3">
        <v>0.75</v>
      </c>
      <c r="D14" s="3">
        <f t="shared" si="0"/>
        <v>0.33333333333333298</v>
      </c>
      <c r="E14" s="4"/>
      <c r="F14" s="13"/>
      <c r="G14"/>
      <c r="H14" s="4"/>
    </row>
    <row r="15" spans="1:11" s="2" customFormat="1" ht="60" customHeight="1" x14ac:dyDescent="0.35">
      <c r="A15" s="10">
        <v>46374</v>
      </c>
      <c r="B15" s="3">
        <v>0.41666666666666702</v>
      </c>
      <c r="C15" s="3">
        <v>0.70833333333333337</v>
      </c>
      <c r="D15" s="3">
        <f t="shared" si="0"/>
        <v>0.29166666666666635</v>
      </c>
      <c r="E15" s="4"/>
      <c r="F15" s="13"/>
      <c r="G15"/>
      <c r="H15" s="4"/>
      <c r="I15" s="4"/>
    </row>
    <row r="16" spans="1:11" ht="60" customHeight="1" x14ac:dyDescent="0.35">
      <c r="A16" s="10">
        <v>46377</v>
      </c>
      <c r="B16" s="3">
        <v>0.41666666666666702</v>
      </c>
      <c r="C16" s="3">
        <v>0.75</v>
      </c>
      <c r="D16" s="3">
        <f t="shared" si="0"/>
        <v>0.33333333333333298</v>
      </c>
      <c r="F16" s="13"/>
    </row>
    <row r="17" spans="1:6" ht="60" customHeight="1" x14ac:dyDescent="0.35">
      <c r="A17" s="10">
        <v>46378</v>
      </c>
      <c r="B17" s="3">
        <v>0.41666666666666702</v>
      </c>
      <c r="C17" s="3">
        <v>0.75</v>
      </c>
      <c r="D17" s="3">
        <f t="shared" si="0"/>
        <v>0.33333333333333298</v>
      </c>
      <c r="F17" s="13"/>
    </row>
    <row r="18" spans="1:6" ht="60" customHeight="1" x14ac:dyDescent="0.35">
      <c r="A18" s="10">
        <v>46379</v>
      </c>
      <c r="B18" s="3">
        <v>0.41666666666666702</v>
      </c>
      <c r="C18" s="3">
        <v>0.75</v>
      </c>
      <c r="D18" s="3">
        <f t="shared" si="0"/>
        <v>0.33333333333333298</v>
      </c>
      <c r="F18" s="13"/>
    </row>
    <row r="19" spans="1:6" ht="60" customHeight="1" x14ac:dyDescent="0.35">
      <c r="A19" s="10">
        <v>46380</v>
      </c>
      <c r="B19" s="3">
        <v>0.41666666666666702</v>
      </c>
      <c r="C19" s="3">
        <v>0.75</v>
      </c>
      <c r="D19" s="3">
        <f t="shared" si="0"/>
        <v>0.33333333333333298</v>
      </c>
      <c r="F19" s="13"/>
    </row>
    <row r="20" spans="1:6" ht="60" customHeight="1" x14ac:dyDescent="0.35">
      <c r="A20" s="14">
        <v>46381</v>
      </c>
      <c r="B20" s="15">
        <v>0.41666666666666702</v>
      </c>
      <c r="C20" s="15">
        <v>0.70833333333333337</v>
      </c>
      <c r="D20" s="15">
        <f t="shared" si="0"/>
        <v>0.29166666666666635</v>
      </c>
      <c r="E20" s="16" t="s">
        <v>10</v>
      </c>
      <c r="F20" s="17" t="s">
        <v>25</v>
      </c>
    </row>
    <row r="21" spans="1:6" ht="60" customHeight="1" x14ac:dyDescent="0.35">
      <c r="A21" s="10">
        <v>46384</v>
      </c>
      <c r="B21" s="3">
        <v>0.41666666666666702</v>
      </c>
      <c r="C21" s="3">
        <v>0.75</v>
      </c>
      <c r="D21" s="3">
        <f t="shared" si="0"/>
        <v>0.33333333333333298</v>
      </c>
      <c r="F21" s="22"/>
    </row>
    <row r="22" spans="1:6" ht="60" customHeight="1" x14ac:dyDescent="0.35">
      <c r="A22" s="10">
        <v>46385</v>
      </c>
      <c r="B22" s="3">
        <v>0.41666666666666702</v>
      </c>
      <c r="C22" s="3">
        <v>0.75</v>
      </c>
      <c r="D22" s="3">
        <f t="shared" si="0"/>
        <v>0.33333333333333298</v>
      </c>
      <c r="F22" s="22"/>
    </row>
    <row r="23" spans="1:6" ht="60" customHeight="1" x14ac:dyDescent="0.35">
      <c r="A23" s="10">
        <v>46386</v>
      </c>
      <c r="B23" s="3">
        <v>0.41666666666666702</v>
      </c>
      <c r="C23" s="3">
        <v>0.75</v>
      </c>
      <c r="D23" s="3">
        <f t="shared" ref="D23" si="1">C23-B23</f>
        <v>0.33333333333333298</v>
      </c>
      <c r="F23" s="22"/>
    </row>
    <row r="24" spans="1:6" ht="60" customHeight="1" x14ac:dyDescent="0.35">
      <c r="A24" s="10">
        <v>46387</v>
      </c>
      <c r="B24" s="3">
        <v>0.41666666666666702</v>
      </c>
      <c r="C24" s="3">
        <v>0.75</v>
      </c>
      <c r="D24" s="3">
        <f t="shared" ref="D24" si="2">C24-B24</f>
        <v>0.33333333333333298</v>
      </c>
      <c r="F24" s="2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 26</vt:lpstr>
      <vt:lpstr>February 26</vt:lpstr>
      <vt:lpstr>March 26</vt:lpstr>
      <vt:lpstr>April 26</vt:lpstr>
      <vt:lpstr>May 26</vt:lpstr>
      <vt:lpstr>June 26</vt:lpstr>
      <vt:lpstr>July 26</vt:lpstr>
      <vt:lpstr>August 26</vt:lpstr>
      <vt:lpstr>September 26</vt:lpstr>
      <vt:lpstr>October 26</vt:lpstr>
      <vt:lpstr>November 26</vt:lpstr>
      <vt:lpstr>December 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Jaime Izuzquiza Suárez-Inclán</cp:lastModifiedBy>
  <cp:revision/>
  <dcterms:created xsi:type="dcterms:W3CDTF">2021-09-22T09:58:35Z</dcterms:created>
  <dcterms:modified xsi:type="dcterms:W3CDTF">2026-03-25T13:59:00Z</dcterms:modified>
  <cp:category/>
  <cp:contentStatus/>
</cp:coreProperties>
</file>